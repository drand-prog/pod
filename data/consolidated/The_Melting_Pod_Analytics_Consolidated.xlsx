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1.xml" ContentType="application/vnd.openxmlformats-officedocument.spreadsheetml.comments+xml"/>
  <Override PartName="/xl/drawings/drawing7.xml" ContentType="application/vnd.openxmlformats-officedocument.drawing+xml"/>
  <Override PartName="/xl/drawings/vmlDrawing6.vml" ContentType="application/vnd.openxmlformats-officedocument.vmlDrawing"/>
  <Override PartName="/xl/drawings/drawing6.xml" ContentType="application/vnd.openxmlformats-officedocument.drawing+xml"/>
  <Override PartName="/xl/drawings/vmlDrawing5.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8.vml" ContentType="application/vnd.openxmlformats-officedocument.vmlDrawing"/>
  <Override PartName="/xl/drawings/drawing9.xml" ContentType="application/vnd.openxmlformats-officedocument.drawing+xml"/>
  <Override PartName="/xl/drawings/vmlDrawing7.vml" ContentType="application/vnd.openxmlformats-officedocument.vmlDrawing"/>
  <Override PartName="/xl/drawings/drawing8.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drawing1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1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comments2.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tform Summary" sheetId="1" state="visible" r:id="rId3"/>
    <sheet name="Megaphone Downloads" sheetId="2" state="visible" r:id="rId4"/>
    <sheet name="Megaphone Technology" sheetId="3" state="visible" r:id="rId5"/>
    <sheet name="Spotify Streams" sheetId="4" state="visible" r:id="rId6"/>
    <sheet name="Spotify Engagement" sheetId="5" state="visible" r:id="rId7"/>
    <sheet name="Spotify Completion Rates" sheetId="6" state="visible" r:id="rId8"/>
    <sheet name="Spotify WoW Retention" sheetId="7" state="visible" r:id="rId9"/>
    <sheet name="Apple Episodes" sheetId="8" state="visible" r:id="rId10"/>
    <sheet name="Apple Top Cities" sheetId="9" state="visible" r:id="rId11"/>
    <sheet name="YouTube Videos" sheetId="10" state="visible" r:id="rId12"/>
    <sheet name="YouTube Traffic Sources" sheetId="11" state="visible" r:id="rId13"/>
    <sheet name="YouTube Funnel" sheetId="12" state="visible" r:id="rId14"/>
  </sheets>
  <definedNames>
    <definedName function="false" hidden="true" localSheetId="7" name="_xlnm._FilterDatabase" vbProcedure="false">'Apple Episodes'!$A$4:$H$16</definedName>
    <definedName function="false" hidden="true" localSheetId="8" name="_xlnm._FilterDatabase" vbProcedure="false">'Apple Top Cities'!$A$4:$B$41</definedName>
    <definedName function="false" hidden="true" localSheetId="1" name="_xlnm._FilterDatabase" vbProcedure="false">'Megaphone Downloads'!$A$1:$C$197</definedName>
    <definedName function="false" hidden="true" localSheetId="2" name="_xlnm._FilterDatabase" vbProcedure="false">'Megaphone Technology'!$A$4:$C$34</definedName>
    <definedName function="false" hidden="true" localSheetId="0" name="_xlnm._FilterDatabase" vbProcedure="false">'Platform Summary'!$A$4:$F$14</definedName>
    <definedName function="false" hidden="true" localSheetId="5" name="_xlnm._FilterDatabase" vbProcedure="false">'Spotify Completion Rates'!$A$1:$D$11</definedName>
    <definedName function="false" hidden="true" localSheetId="4" name="_xlnm._FilterDatabase" vbProcedure="false">'Spotify Engagement'!$A$1:$E$144</definedName>
    <definedName function="false" hidden="true" localSheetId="3" name="_xlnm._FilterDatabase" vbProcedure="false">'Spotify Streams'!$A$1:$B$145</definedName>
    <definedName function="false" hidden="true" localSheetId="6" name="_xlnm._FilterDatabase" vbProcedure="false">'Spotify WoW Retention'!$A$1:$B$21</definedName>
    <definedName function="false" hidden="true" localSheetId="11" name="_xlnm._FilterDatabase" vbProcedure="false">'YouTube Funnel'!$A$4:$C$10</definedName>
    <definedName function="false" hidden="true" localSheetId="10" name="_xlnm._FilterDatabase" vbProcedure="false">'YouTube Traffic Sources'!$A$4:$H$17</definedName>
    <definedName function="false" hidden="true" localSheetId="9" name="_xlnm._FilterDatabase" vbProcedure="false">'YouTube Videos'!$A$4:$J$25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D8" authorId="0">
      <text>
        <r>
          <rPr>
            <sz val="10"/>
            <rFont val="Arial"/>
            <family val="2"/>
          </rPr>
          <t xml:space="preserve">OTHER PLATFORMS = Megaphone total downloads - Apple downloads - Spotify downloads, all from Megaphone's Technology Performance report (IAB downloads).
9,632 - 6,200 - 1,003 = 2,429.
Earlier attempts subtracted the platforms' native PLAY counts (Apple 10,400, Spotify 1,934), which are playback events, not file requests, and gave a negative number. Using Megaphone's own per-app DOWNLOAD figures fixes that.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Megaphone downloads span all listening platforms (incl. Spotify and Apple) but EXCLUDE YouTube. Source rows were originally sorted by Downloads descending; re-sorted here by Date ascending. Range 2026-01-01 to 2026-07-15.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Spotify only. Daily streams, all-time.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Spotify only. Blank Comments cells = no comment data reported that day.</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Spotify only. Completion rate stored as percent points (e.g. 50 = 50%).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Spotify only. Retention rate stored as percent points (e.g. 37.84 = 37.84%).</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E16" authorId="0">
      <text>
        <r>
          <rPr>
            <sz val="10"/>
            <rFont val="Arial"/>
            <family val="2"/>
          </rPr>
          <t xml:space="preserve">Listeners and Engaged listeners are unique counts and do NOT sum across episodes (Apple all-time unique Listeners = 587, Engaged = 409). Only Plays are additive; listed-episode Plays sum vs Apple headline '10.4K'.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24" authorId="0">
      <text>
        <r>
          <rPr>
            <sz val="10"/>
            <rFont val="Arial"/>
            <family val="2"/>
          </rPr>
          <t xml:space="preserve">Rows-shown sum is below the channel total because low-view videos are cut off at the bottom of the screenshot. Subscribers attributed to videos (sum) fall well short of the 178 net total because subscribers also arrive via channel pages, not a specific video.</t>
        </r>
      </text>
    </comment>
  </commentList>
</comments>
</file>

<file path=xl/sharedStrings.xml><?xml version="1.0" encoding="utf-8"?>
<sst xmlns="http://schemas.openxmlformats.org/spreadsheetml/2006/main" count="356" uniqueCount="283">
  <si>
    <t xml:space="preserve">Cross-Platform KPI Summary</t>
  </si>
  <si>
    <t xml:space="preserve">Transcribed from Spotify, Apple Podcasts Connect and YouTube Studio screenshots (labeled figures only). Term definitions in Notes are quoted from each platform's own documentation; sources listed at the bottom.</t>
  </si>
  <si>
    <t xml:space="preserve">Metric</t>
  </si>
  <si>
    <t xml:space="preserve">Spotify</t>
  </si>
  <si>
    <t xml:space="preserve">Apple Podcasts</t>
  </si>
  <si>
    <t xml:space="preserve">Other platforms</t>
  </si>
  <si>
    <t xml:space="preserve">YouTube</t>
  </si>
  <si>
    <t xml:space="preserve">Notes — definitions (platforms' own wording)</t>
  </si>
  <si>
    <t xml:space="preserve">Reporting period</t>
  </si>
  <si>
    <t xml:space="preserve">All-time</t>
  </si>
  <si>
    <t xml:space="preserve">All time</t>
  </si>
  <si>
    <t xml:space="preserve">—</t>
  </si>
  <si>
    <t xml:space="preserve">Jan 1 – Jul 14, 2026 (195 days)</t>
  </si>
  <si>
    <t xml:space="preserve">Spotify and Apple columns are all-time; YouTube is a 195-day 2026 window; the Megaphone download report covers Jan 1 – Jul 16. Different periods — cross-platform totals are not strictly comparable.</t>
  </si>
  <si>
    <t xml:space="preserve">Followers / Subscribers</t>
  </si>
  <si>
    <t xml:space="preserve">Apple 'Followers' = "The total number of people following your show" (Apple Podcasts Connect). Spotify 'Followers' = listeners who tapped Follow. YouTube 'Subscribers' shown here is the NET change for the period (gained minus lost); the overview reads "+178". Opt-in audience, not play volume.</t>
  </si>
  <si>
    <t xml:space="preserve">Plays / Streams / Views</t>
  </si>
  <si>
    <t xml:space="preserve">Apple 'Plays' = "The total number of times people pressed play on your episode" (Apple). Spotify 'Plays' (standard effective 11 Jun 2026) counts an episode "watched or listened to for at least thirty seconds" (Spotify); header value is rounded. YouTube 'Views' = times a video was watched (unique + repeat). These are PLAY events; Megaphone counts DOWNLOADS instead, so the cross-platform residual sits on the next row, not here.</t>
  </si>
  <si>
    <t xml:space="preserve">Downloads by app (Megaphone, IAB)</t>
  </si>
  <si>
    <t xml:space="preserve">IAB / Megaphone 'Download' = "a unique file request that was downloaded" (complete or partial), de-duplicated by IP + user agent within 24h. These are Megaphone's OWN per-app download counts — the correct like-for-like basis. 'Other platforms' = Megaphone total (9,632) - Apple (6,200) - Spotify (1,003) = 2,429 (Chrome, Overcast, Safari, Pocket Casts, and the long tail). Green cells link to the 'Megaphone Technology' tab. Megaphone excludes YouTube.</t>
  </si>
  <si>
    <t xml:space="preserve">Listeners (unique)</t>
  </si>
  <si>
    <t xml:space="preserve">Apple 'Listeners' = "The total number of people that listened to or watched your show" (Apple). Unique devices, so this does NOT equal the sum of per-episode listeners.</t>
  </si>
  <si>
    <t xml:space="preserve">Engaged listeners</t>
  </si>
  <si>
    <t xml:space="preserve">Apple 'Engaged Listeners' = "Total number of people who listened to or watched at least 20 minutes or 40% of an episode" (Apple).</t>
  </si>
  <si>
    <t xml:space="preserve">Listen / Watch time (hours)</t>
  </si>
  <si>
    <t xml:space="preserve">Apple 'Time Listened' = cumulative hours listened across all listeners and followers (Apple); header "1.2K" = Following 930 + Not-following 287 = 1,217. YouTube 'Watch time' = total hours viewers spent watching, including complete and partial views.</t>
  </si>
  <si>
    <t xml:space="preserve">  — of which Following (Apple)</t>
  </si>
  <si>
    <t xml:space="preserve">Apple splits Time Listened by whether the listener follows the show. Following = 76% of the 1,217 hours.</t>
  </si>
  <si>
    <t xml:space="preserve">  — of which Not following (Apple)</t>
  </si>
  <si>
    <t xml:space="preserve">Not following = 24% of the 1,217 hours.</t>
  </si>
  <si>
    <t xml:space="preserve">Impressions</t>
  </si>
  <si>
    <t xml:space="preserve">YouTube 'Impressions' = how often your video thumbnails were shown to viewers on YouTube (registered impressions). 'Impressions CTR' = the percentage of impressions that resulted in a viewer clicking your video and watching it (4.2%). 'Average view duration' = total watch time divided by total views (4:05).</t>
  </si>
  <si>
    <t xml:space="preserve">"Other platforms" — resolved on a downloads basis</t>
  </si>
  <si>
    <t xml:space="preserve">Subtracting native play counts gave a negative number before, because a 'play' is a playback event while a Megaphone 'download' is a de-duplicated file request — different things on different scales. Using Megaphone's own downloads-by-app report, the like-for-like residual is positive: total 9,632 - Apple 6,200 - Spotify 1,003 = 2,429 downloads from all other apps (Chrome, Overcast, Safari, Pocket Casts, and a long tail). Note: this report's total (9,632, through Jul 16) runs ~47 above the daily-downloads tab (9,585, through Jul 15) — one extra day, plus minor rounding.</t>
  </si>
  <si>
    <t xml:space="preserve">Definition sources (platforms' own docs)</t>
  </si>
  <si>
    <t xml:space="preserve">•  Apple Podcasts Connect — Listener analytics: podcasters.apple.com/support/5392-listener-analytics (Followers, Listeners, Engaged Listeners, Plays, Top Cities).</t>
  </si>
  <si>
    <t xml:space="preserve">•  Spotify — 'A New Standard for Podcast Plays' (11 Jun 2026): newsroom.spotify.com (Plays = watched/listened &gt;= 30 seconds).</t>
  </si>
  <si>
    <t xml:space="preserve">•  YouTube Help — Impressions &amp; CTR / key metrics: support.google.com/youtube (Impressions, Impressions CTR, Average view duration, Views, Watch time).</t>
  </si>
  <si>
    <t xml:space="preserve">•  IAB Tech Lab Podcast Measurement — Megaphone certification (v2.2): compliance.iabtechnologylab.com (Download = a unique file request that was downloaded).</t>
  </si>
  <si>
    <t xml:space="preserve">Date</t>
  </si>
  <si>
    <t xml:space="preserve">Downloads</t>
  </si>
  <si>
    <t xml:space="preserve">Download reach</t>
  </si>
  <si>
    <t xml:space="preserve">Megaphone — Downloads by Listening App (Technology Performance)</t>
  </si>
  <si>
    <t xml:space="preserve">Jan 1 – Jul 16, 2026. IAB 'Download' = a unique file request that was downloaded (complete or partial). '% of total' is Megaphone's own reported figure (rounded to whole percent). Covers all non-YouTube platforms.</t>
  </si>
  <si>
    <t xml:space="preserve">Application</t>
  </si>
  <si>
    <t xml:space="preserve">% of total</t>
  </si>
  <si>
    <t xml:space="preserve">Chrome</t>
  </si>
  <si>
    <t xml:space="preserve">Overcast</t>
  </si>
  <si>
    <t xml:space="preserve">Safari</t>
  </si>
  <si>
    <t xml:space="preserve">AppleCoreMedia</t>
  </si>
  <si>
    <t xml:space="preserve">Pocket Casts</t>
  </si>
  <si>
    <t xml:space="preserve">Downcast</t>
  </si>
  <si>
    <t xml:space="preserve">Podcast Addict</t>
  </si>
  <si>
    <t xml:space="preserve">Castbox</t>
  </si>
  <si>
    <t xml:space="preserve">Podcast Republic</t>
  </si>
  <si>
    <t xml:space="preserve">other</t>
  </si>
  <si>
    <t xml:space="preserve">Firefox</t>
  </si>
  <si>
    <t xml:space="preserve">AntennaPod</t>
  </si>
  <si>
    <t xml:space="preserve">Mozilla</t>
  </si>
  <si>
    <t xml:space="preserve">Player FM</t>
  </si>
  <si>
    <t xml:space="preserve">Stagefright</t>
  </si>
  <si>
    <t xml:space="preserve">iTunes desktop software</t>
  </si>
  <si>
    <t xml:space="preserve">Dalvik Android Audio Library</t>
  </si>
  <si>
    <t xml:space="preserve">Podbean</t>
  </si>
  <si>
    <t xml:space="preserve">Amazon Music Podcasts</t>
  </si>
  <si>
    <t xml:space="preserve">Pandora</t>
  </si>
  <si>
    <t xml:space="preserve">Google Podcasts on Android</t>
  </si>
  <si>
    <t xml:space="preserve">Amazon Alexa</t>
  </si>
  <si>
    <t xml:space="preserve">iCatcher</t>
  </si>
  <si>
    <t xml:space="preserve">Google Podcasts on smart speakers</t>
  </si>
  <si>
    <t xml:space="preserve">Podcast Guru</t>
  </si>
  <si>
    <t xml:space="preserve">BeyondPod</t>
  </si>
  <si>
    <t xml:space="preserve">Castro</t>
  </si>
  <si>
    <t xml:space="preserve">Apple Watch</t>
  </si>
  <si>
    <t xml:space="preserve">Total</t>
  </si>
  <si>
    <t xml:space="preserve">Grouped for the cross-platform residual</t>
  </si>
  <si>
    <t xml:space="preserve">Other platforms (everything else)</t>
  </si>
  <si>
    <t xml:space="preserve">"Other" = Chrome, Overcast, Safari, Pocket Casts and the long tail of apps above.</t>
  </si>
  <si>
    <t xml:space="preserve">Streams</t>
  </si>
  <si>
    <t xml:space="preserve">Consumption time (hours)</t>
  </si>
  <si>
    <t xml:space="preserve">Average consumption time (hours)</t>
  </si>
  <si>
    <t xml:space="preserve">Comments</t>
  </si>
  <si>
    <t xml:space="preserve">Followers</t>
  </si>
  <si>
    <t xml:space="preserve">Episode title</t>
  </si>
  <si>
    <t xml:space="preserve">Completion rate (%)</t>
  </si>
  <si>
    <t xml:space="preserve">Publish date</t>
  </si>
  <si>
    <t xml:space="preserve">Episode URI</t>
  </si>
  <si>
    <t xml:space="preserve">Trailer: What is The Melting Pod?</t>
  </si>
  <si>
    <t xml:space="preserve">spotify:episode:6Px4nR8PVDyK3XQAovvSVJ</t>
  </si>
  <si>
    <t xml:space="preserve">Welcome to The Melting Pod</t>
  </si>
  <si>
    <t xml:space="preserve">spotify:episode:7ulKn8vAnz66u2H59ojW1O</t>
  </si>
  <si>
    <t xml:space="preserve">Biden and the Border (Part 1), with Charanya Krishnaswami</t>
  </si>
  <si>
    <t xml:space="preserve">spotify:episode:25UHBkE8qqFX6J9rAnapKk</t>
  </si>
  <si>
    <t xml:space="preserve">The Heartbreak of Immigration Reform, with Esther Olavarria</t>
  </si>
  <si>
    <t xml:space="preserve">spotify:episode:4Z02PAQwKc0j9Xi6ywaPMj</t>
  </si>
  <si>
    <t xml:space="preserve">DACA and the Dreamer Movement, with Felicia Escobar Carrillo</t>
  </si>
  <si>
    <t xml:space="preserve">spotify:episode:4C2LTXeP1jfCez8NqAjIhu</t>
  </si>
  <si>
    <t xml:space="preserve">Who’s Afraid of the H-1B?</t>
  </si>
  <si>
    <t xml:space="preserve">spotify:episode:1hjwD7uZrlqEVOQjuJzwts</t>
  </si>
  <si>
    <t xml:space="preserve">The Truth About ICE, with Jason Houser</t>
  </si>
  <si>
    <t xml:space="preserve">spotify:episode:0Z6OrGNWMHtoO8IYF8dygi</t>
  </si>
  <si>
    <t xml:space="preserve">News Digest: Green Card Chaos, Hunger Strikes, and Stern Dad Energy</t>
  </si>
  <si>
    <t xml:space="preserve">spotify:episode:7H4wz85uVoComLYO4tfkrF</t>
  </si>
  <si>
    <t xml:space="preserve">The Reality-Based Economics of Immigration, with Jenny Hunt</t>
  </si>
  <si>
    <t xml:space="preserve">spotify:episode:3WuQQ50zJ0Kt6lq8NnJTEH</t>
  </si>
  <si>
    <t xml:space="preserve">A Winning Message on Immigration, with Beatriz Lopez</t>
  </si>
  <si>
    <t xml:space="preserve">spotify:episode:5rKWLDNahHoIRLMISp4vQj</t>
  </si>
  <si>
    <t xml:space="preserve">Week starting</t>
  </si>
  <si>
    <t xml:space="preserve">Retention rate (%)</t>
  </si>
  <si>
    <t xml:space="preserve">Apple Podcasts — Episodes (11)  ·  All Time</t>
  </si>
  <si>
    <t xml:space="preserve">'Number' transcribed verbatim; platform displayed 'Episode NaN' for two rows (a source glitch).</t>
  </si>
  <si>
    <t xml:space="preserve">Number</t>
  </si>
  <si>
    <t xml:space="preserve">Name</t>
  </si>
  <si>
    <t xml:space="preserve">Release date</t>
  </si>
  <si>
    <t xml:space="preserve">Duration</t>
  </si>
  <si>
    <t xml:space="preserve">Listeners</t>
  </si>
  <si>
    <t xml:space="preserve">Plays</t>
  </si>
  <si>
    <t xml:space="preserve">Average consumption</t>
  </si>
  <si>
    <t xml:space="preserve">S1 E10</t>
  </si>
  <si>
    <t xml:space="preserve">Jun 30, 2026</t>
  </si>
  <si>
    <t xml:space="preserve">1 hr 3 min</t>
  </si>
  <si>
    <t xml:space="preserve">Episode NaN</t>
  </si>
  <si>
    <t xml:space="preserve">Jun 19, 2026</t>
  </si>
  <si>
    <t xml:space="preserve">49 min</t>
  </si>
  <si>
    <t xml:space="preserve">S1 E8</t>
  </si>
  <si>
    <t xml:space="preserve">Jun 3, 2026</t>
  </si>
  <si>
    <t xml:space="preserve">1 hr 8 min</t>
  </si>
  <si>
    <t xml:space="preserve">S1 E7</t>
  </si>
  <si>
    <t xml:space="preserve">May 26, 2026</t>
  </si>
  <si>
    <t xml:space="preserve">1 hr 2 min</t>
  </si>
  <si>
    <t xml:space="preserve">S1 E6</t>
  </si>
  <si>
    <t xml:space="preserve">Who's Afraid of the H-1B?</t>
  </si>
  <si>
    <t xml:space="preserve">Mar 17, 2026</t>
  </si>
  <si>
    <t xml:space="preserve">1 hr 14 min</t>
  </si>
  <si>
    <t xml:space="preserve">S1 E5</t>
  </si>
  <si>
    <t xml:space="preserve">Mar 9, 2026</t>
  </si>
  <si>
    <t xml:space="preserve">1 hr 36 min</t>
  </si>
  <si>
    <t xml:space="preserve">S1 E4</t>
  </si>
  <si>
    <t xml:space="preserve">Mar 2, 2026</t>
  </si>
  <si>
    <t xml:space="preserve">1 hr 38 min</t>
  </si>
  <si>
    <t xml:space="preserve">S1 E3</t>
  </si>
  <si>
    <t xml:space="preserve">Biden and the Border (Part 2), with Charanya Krishnaswami</t>
  </si>
  <si>
    <t xml:space="preserve">Feb 22, 2026</t>
  </si>
  <si>
    <t xml:space="preserve">1 hr 9 min</t>
  </si>
  <si>
    <t xml:space="preserve">S1 E2</t>
  </si>
  <si>
    <t xml:space="preserve">1 hr 13 min</t>
  </si>
  <si>
    <t xml:space="preserve">S1 E1</t>
  </si>
  <si>
    <t xml:space="preserve">52 min</t>
  </si>
  <si>
    <t xml:space="preserve">2 min</t>
  </si>
  <si>
    <t xml:space="preserve">Sum of listed episodes</t>
  </si>
  <si>
    <t xml:space="preserve">n/a</t>
  </si>
  <si>
    <t xml:space="preserve">Apple Podcasts — Listeners by City  ·  All Time</t>
  </si>
  <si>
    <t xml:space="preserve">List as shown; screenshot is truncated at the bottom (smallest visible = 5). Listed cities therefore do not sum to the 587 'All Cities' total.</t>
  </si>
  <si>
    <t xml:space="preserve">City</t>
  </si>
  <si>
    <t xml:space="preserve">All Cities</t>
  </si>
  <si>
    <t xml:space="preserve">Washington, D.C.</t>
  </si>
  <si>
    <t xml:space="preserve">Baltimore</t>
  </si>
  <si>
    <t xml:space="preserve">Seattle</t>
  </si>
  <si>
    <t xml:space="preserve">New York City</t>
  </si>
  <si>
    <t xml:space="preserve">Chicago</t>
  </si>
  <si>
    <t xml:space="preserve">Los Angeles</t>
  </si>
  <si>
    <t xml:space="preserve">Philadelphia</t>
  </si>
  <si>
    <t xml:space="preserve">Boston</t>
  </si>
  <si>
    <t xml:space="preserve">San Jose</t>
  </si>
  <si>
    <t xml:space="preserve">San Francisco</t>
  </si>
  <si>
    <t xml:space="preserve">Atlanta</t>
  </si>
  <si>
    <t xml:space="preserve">Portland</t>
  </si>
  <si>
    <t xml:space="preserve">Wilmington</t>
  </si>
  <si>
    <t xml:space="preserve">Miami</t>
  </si>
  <si>
    <t xml:space="preserve">Charlotte</t>
  </si>
  <si>
    <t xml:space="preserve">Denver</t>
  </si>
  <si>
    <t xml:space="preserve">London</t>
  </si>
  <si>
    <t xml:space="preserve">Hartford</t>
  </si>
  <si>
    <t xml:space="preserve">San Diego</t>
  </si>
  <si>
    <t xml:space="preserve">Dallas</t>
  </si>
  <si>
    <t xml:space="preserve">Minneapolis</t>
  </si>
  <si>
    <t xml:space="preserve">Kansas City</t>
  </si>
  <si>
    <t xml:space="preserve">Worcester</t>
  </si>
  <si>
    <t xml:space="preserve">Syracuse</t>
  </si>
  <si>
    <t xml:space="preserve">Phoenix</t>
  </si>
  <si>
    <t xml:space="preserve">Detroit</t>
  </si>
  <si>
    <t xml:space="preserve">Milwaukee</t>
  </si>
  <si>
    <t xml:space="preserve">Oakland</t>
  </si>
  <si>
    <t xml:space="preserve">Las Vegas</t>
  </si>
  <si>
    <t xml:space="preserve">Columbus</t>
  </si>
  <si>
    <t xml:space="preserve">Houston</t>
  </si>
  <si>
    <t xml:space="preserve">Leesburg</t>
  </si>
  <si>
    <t xml:space="preserve">Richmond</t>
  </si>
  <si>
    <t xml:space="preserve">Pittsburgh</t>
  </si>
  <si>
    <t xml:space="preserve">Mesa</t>
  </si>
  <si>
    <t xml:space="preserve">Anaheim</t>
  </si>
  <si>
    <t xml:space="preserve">…list truncated in screenshot</t>
  </si>
  <si>
    <t xml:space="preserve">YouTube — Content (per video)  ·  Jan 1 – Jul 14, 2026</t>
  </si>
  <si>
    <t xml:space="preserve">Durations read from thumbnail overlays. '%' columns are each row's share of the channel total.</t>
  </si>
  <si>
    <t xml:space="preserve">Video title</t>
  </si>
  <si>
    <t xml:space="preserve">Views</t>
  </si>
  <si>
    <t xml:space="preserve">Views %</t>
  </si>
  <si>
    <t xml:space="preserve">Watch time (hrs)</t>
  </si>
  <si>
    <t xml:space="preserve">Watch time %</t>
  </si>
  <si>
    <t xml:space="preserve">Subscribers</t>
  </si>
  <si>
    <t xml:space="preserve">Subscribers %</t>
  </si>
  <si>
    <t xml:space="preserve">Impr. CTR</t>
  </si>
  <si>
    <t xml:space="preserve">There's No Differentiation Among U.S. Citizens</t>
  </si>
  <si>
    <t xml:space="preserve">0:22</t>
  </si>
  <si>
    <t xml:space="preserve">Never Mind Kristi Noem; Nothing Changes While S…</t>
  </si>
  <si>
    <t xml:space="preserve">1:28</t>
  </si>
  <si>
    <t xml:space="preserve">All Good Immigration Policy Is Not A Pull Factor</t>
  </si>
  <si>
    <t xml:space="preserve">0:16</t>
  </si>
  <si>
    <t xml:space="preserve">No, Elon Musk Won't "Go to War" to Save H-1B Visas</t>
  </si>
  <si>
    <t xml:space="preserve">0:52</t>
  </si>
  <si>
    <t xml:space="preserve">Pundits Erroneously Blaming "Woke" Staffers for B…</t>
  </si>
  <si>
    <t xml:space="preserve">2:55</t>
  </si>
  <si>
    <t xml:space="preserve">DACA Day was Joyous #immigration #DACA</t>
  </si>
  <si>
    <t xml:space="preserve">1:01</t>
  </si>
  <si>
    <t xml:space="preserve">1:52:22</t>
  </si>
  <si>
    <t xml:space="preserve">Jason Houser discussed the role of ICE officers.</t>
  </si>
  <si>
    <t xml:space="preserve">0:34</t>
  </si>
  <si>
    <t xml:space="preserve">The Heartbreak of Immigration Reform, with Esthe…</t>
  </si>
  <si>
    <t xml:space="preserve">1:38:21</t>
  </si>
  <si>
    <t xml:space="preserve">1:13:39</t>
  </si>
  <si>
    <t xml:space="preserve">We Must Offer an Affirmative Vision</t>
  </si>
  <si>
    <t xml:space="preserve">0:13</t>
  </si>
  <si>
    <t xml:space="preserve">The Reality-Based Economics of Immigration, with …</t>
  </si>
  <si>
    <t xml:space="preserve">1:48:40</t>
  </si>
  <si>
    <t xml:space="preserve">1:01:43</t>
  </si>
  <si>
    <t xml:space="preserve">2:22</t>
  </si>
  <si>
    <t xml:space="preserve">Biden and the Border (Part 1), with Charanya Krish…</t>
  </si>
  <si>
    <t xml:space="preserve">1:12:56</t>
  </si>
  <si>
    <t xml:space="preserve">News Digest: Green Card Chaos, Hunger Strikes, a…</t>
  </si>
  <si>
    <t xml:space="preserve">1:08:08</t>
  </si>
  <si>
    <t xml:space="preserve">Biden and the Border (Part 2), with Charanya Krish…</t>
  </si>
  <si>
    <t xml:space="preserve">1:09:03</t>
  </si>
  <si>
    <t xml:space="preserve">DACA and the Dreamer Movement, with Felicia Esc…</t>
  </si>
  <si>
    <t xml:space="preserve">1:35:57</t>
  </si>
  <si>
    <t xml:space="preserve">A Winning Message on Immigration, with Beatriz L…</t>
  </si>
  <si>
    <t xml:space="preserve">1:02:47</t>
  </si>
  <si>
    <t xml:space="preserve">Sum of rows shown</t>
  </si>
  <si>
    <t xml:space="preserve">Channel total (per YouTube)</t>
  </si>
  <si>
    <t xml:space="preserve">YouTube — Traffic Sources  ·  Jan 1 – Jul 14, 2026</t>
  </si>
  <si>
    <t xml:space="preserve">Blank Impressions/CTR cells shown as '—' in YouTube (not impression-served). '%' columns are share of channel Views / Watch time.</t>
  </si>
  <si>
    <t xml:space="preserve">Traffic source</t>
  </si>
  <si>
    <t xml:space="preserve">Avg view duration</t>
  </si>
  <si>
    <t xml:space="preserve">4:05</t>
  </si>
  <si>
    <t xml:space="preserve">Shorts feed</t>
  </si>
  <si>
    <t xml:space="preserve">0:35</t>
  </si>
  <si>
    <t xml:space="preserve">Channel pages</t>
  </si>
  <si>
    <t xml:space="preserve">14:19</t>
  </si>
  <si>
    <t xml:space="preserve">YouTube search</t>
  </si>
  <si>
    <t xml:space="preserve">3:28</t>
  </si>
  <si>
    <t xml:space="preserve">Other YouTube features</t>
  </si>
  <si>
    <t xml:space="preserve">5:14</t>
  </si>
  <si>
    <t xml:space="preserve">Browse features</t>
  </si>
  <si>
    <t xml:space="preserve">9:57</t>
  </si>
  <si>
    <t xml:space="preserve">Suggested videos</t>
  </si>
  <si>
    <t xml:space="preserve">17:18</t>
  </si>
  <si>
    <t xml:space="preserve">Direct or unknown</t>
  </si>
  <si>
    <t xml:space="preserve">5:13</t>
  </si>
  <si>
    <t xml:space="preserve">External</t>
  </si>
  <si>
    <t xml:space="preserve">6:54</t>
  </si>
  <si>
    <t xml:space="preserve">Playlists</t>
  </si>
  <si>
    <t xml:space="preserve">9:08</t>
  </si>
  <si>
    <t xml:space="preserve">Notifications</t>
  </si>
  <si>
    <t xml:space="preserve">5:02</t>
  </si>
  <si>
    <t xml:space="preserve">Related Shorts</t>
  </si>
  <si>
    <t xml:space="preserve">0:04</t>
  </si>
  <si>
    <t xml:space="preserve">Sound pages</t>
  </si>
  <si>
    <t xml:space="preserve">0:40</t>
  </si>
  <si>
    <t xml:space="preserve">YouTube — Impressions → Watch time funnel</t>
  </si>
  <si>
    <t xml:space="preserve">Source card: 'Impressions and how they led to watch time.' Data available Jan 1 – Jul 14, 2026 (195 days).</t>
  </si>
  <si>
    <t xml:space="preserve">Stage / metric</t>
  </si>
  <si>
    <t xml:space="preserve">Value</t>
  </si>
  <si>
    <t xml:space="preserve">Notes</t>
  </si>
  <si>
    <t xml:space="preserve">Card shows '17.4K'; exact value from traffic-source table.</t>
  </si>
  <si>
    <t xml:space="preserve">From YouTube recommending content</t>
  </si>
  <si>
    <t xml:space="preserve">Share of impressions.</t>
  </si>
  <si>
    <t xml:space="preserve">Click-through rate</t>
  </si>
  <si>
    <t xml:space="preserve">Views from impressions</t>
  </si>
  <si>
    <t xml:space="preserve">Impression-driven views only — less than total channel views (7,543), which include Shorts feed, external, etc.</t>
  </si>
  <si>
    <t xml:space="preserve">Average view duration</t>
  </si>
  <si>
    <t xml:space="preserve">11:23</t>
  </si>
  <si>
    <t xml:space="preserve">For impression-driven views.</t>
  </si>
  <si>
    <t xml:space="preserve">Watch time from impressions (hours)</t>
  </si>
  <si>
    <t xml:space="preserve">Vs. total channel watch time of 241.5 hours.</t>
  </si>
</sst>
</file>

<file path=xl/styles.xml><?xml version="1.0" encoding="utf-8"?>
<styleSheet xmlns="http://schemas.openxmlformats.org/spreadsheetml/2006/main">
  <numFmts count="10">
    <numFmt numFmtId="164" formatCode="General"/>
    <numFmt numFmtId="165" formatCode="#,##0"/>
    <numFmt numFmtId="166" formatCode="#,##0.0"/>
    <numFmt numFmtId="167" formatCode="yyyy\-mm\-dd"/>
    <numFmt numFmtId="168" formatCode="0%"/>
    <numFmt numFmtId="169" formatCode="#,##0.00"/>
    <numFmt numFmtId="170" formatCode="#,##0.0000"/>
    <numFmt numFmtId="171" formatCode="0.0"/>
    <numFmt numFmtId="172" formatCode="0.00"/>
    <numFmt numFmtId="173" formatCode="0.0%"/>
  </numFmts>
  <fonts count="13">
    <font>
      <sz val="11"/>
      <color theme="1"/>
      <name val="Calibri"/>
      <family val="2"/>
      <charset val="1"/>
    </font>
    <font>
      <sz val="10"/>
      <name val="Arial"/>
      <family val="0"/>
    </font>
    <font>
      <sz val="10"/>
      <name val="Arial"/>
      <family val="0"/>
    </font>
    <font>
      <sz val="10"/>
      <name val="Arial"/>
      <family val="0"/>
    </font>
    <font>
      <b val="true"/>
      <sz val="13"/>
      <color rgb="FF1F4E5F"/>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9"/>
      <color rgb="FF404040"/>
      <name val="Arial"/>
      <family val="0"/>
      <charset val="1"/>
    </font>
    <font>
      <b val="true"/>
      <sz val="10"/>
      <color rgb="FF008000"/>
      <name val="Arial"/>
      <family val="0"/>
      <charset val="1"/>
    </font>
    <font>
      <b val="true"/>
      <sz val="10"/>
      <color rgb="FF1F6F3C"/>
      <name val="Arial"/>
      <family val="0"/>
      <charset val="1"/>
    </font>
    <font>
      <sz val="10"/>
      <name val="Arial"/>
      <family val="2"/>
    </font>
  </fonts>
  <fills count="5">
    <fill>
      <patternFill patternType="none"/>
    </fill>
    <fill>
      <patternFill patternType="gray125"/>
    </fill>
    <fill>
      <patternFill patternType="solid">
        <fgColor rgb="FF1F4E5F"/>
        <bgColor rgb="FF404040"/>
      </patternFill>
    </fill>
    <fill>
      <patternFill patternType="solid">
        <fgColor rgb="FFEAF3EC"/>
        <bgColor rgb="FFE8EEF0"/>
      </patternFill>
    </fill>
    <fill>
      <patternFill patternType="solid">
        <fgColor rgb="FFE8EEF0"/>
        <bgColor rgb="FFEAF3EC"/>
      </patternFill>
    </fill>
  </fills>
  <borders count="3">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5" fontId="10" fillId="3"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70" fontId="8"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71" fontId="8" fillId="0" borderId="1" xfId="0" applyFont="true" applyBorder="true" applyAlignment="true" applyProtection="false">
      <alignment horizontal="general" vertical="bottom" textRotation="0" wrapText="false" indent="0" shrinkToFit="false"/>
      <protection locked="true" hidden="false"/>
    </xf>
    <xf numFmtId="172" fontId="8"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73" fontId="7" fillId="4"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EAF3EC"/>
          <bgColor rgb="FF000000"/>
        </patternFill>
      </fill>
    </dxf>
    <dxf>
      <fill>
        <patternFill patternType="solid">
          <fgColor rgb="FF404040"/>
          <bgColor rgb="FF000000"/>
        </patternFill>
      </fill>
    </dxf>
    <dxf>
      <fill>
        <patternFill patternType="solid">
          <fgColor rgb="FFE8EE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3C"/>
      <rgbColor rgb="FFC0C0C0"/>
      <rgbColor rgb="FF808080"/>
      <rgbColor rgb="FF9999FF"/>
      <rgbColor rgb="FF993366"/>
      <rgbColor rgb="FFEAF3EC"/>
      <rgbColor rgb="FFE8EE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4E5F"/>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8.v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5"/>
    <col collapsed="false" customWidth="true" hidden="false" outlineLevel="0" max="5" min="4" style="0" width="16"/>
    <col collapsed="false" customWidth="true" hidden="false" outlineLevel="0" max="6" min="6" style="0" width="82"/>
  </cols>
  <sheetData>
    <row r="1" customFormat="false" ht="16.15" hidden="false" customHeight="false" outlineLevel="0" collapsed="false">
      <c r="A1" s="1" t="s">
        <v>0</v>
      </c>
    </row>
    <row r="2" customFormat="false" ht="27.75" hidden="false" customHeight="true" outlineLevel="0" collapsed="false">
      <c r="A2" s="2" t="s">
        <v>1</v>
      </c>
    </row>
    <row r="4" customFormat="false" ht="26.85" hidden="false" customHeight="false" outlineLevel="0" collapsed="false">
      <c r="A4" s="3" t="s">
        <v>2</v>
      </c>
      <c r="B4" s="3" t="s">
        <v>3</v>
      </c>
      <c r="C4" s="3" t="s">
        <v>4</v>
      </c>
      <c r="D4" s="3" t="s">
        <v>5</v>
      </c>
      <c r="E4" s="3" t="s">
        <v>6</v>
      </c>
      <c r="F4" s="3" t="s">
        <v>7</v>
      </c>
    </row>
    <row r="5" customFormat="false" ht="60" hidden="false" customHeight="true" outlineLevel="0" collapsed="false">
      <c r="A5" s="4" t="s">
        <v>8</v>
      </c>
      <c r="B5" s="5" t="s">
        <v>9</v>
      </c>
      <c r="C5" s="5" t="s">
        <v>10</v>
      </c>
      <c r="D5" s="5" t="s">
        <v>11</v>
      </c>
      <c r="E5" s="5" t="s">
        <v>12</v>
      </c>
      <c r="F5" s="6" t="s">
        <v>13</v>
      </c>
    </row>
    <row r="6" customFormat="false" ht="73.5" hidden="false" customHeight="true" outlineLevel="0" collapsed="false">
      <c r="A6" s="4" t="s">
        <v>14</v>
      </c>
      <c r="B6" s="7" t="n">
        <v>283</v>
      </c>
      <c r="C6" s="7" t="n">
        <v>487</v>
      </c>
      <c r="D6" s="5" t="s">
        <v>11</v>
      </c>
      <c r="E6" s="7" t="n">
        <v>178</v>
      </c>
      <c r="F6" s="6" t="s">
        <v>15</v>
      </c>
    </row>
    <row r="7" customFormat="false" ht="87.75" hidden="false" customHeight="true" outlineLevel="0" collapsed="false">
      <c r="A7" s="4" t="s">
        <v>16</v>
      </c>
      <c r="B7" s="7" t="n">
        <v>1934</v>
      </c>
      <c r="C7" s="7" t="n">
        <v>10400</v>
      </c>
      <c r="D7" s="5" t="s">
        <v>11</v>
      </c>
      <c r="E7" s="7" t="n">
        <v>7543</v>
      </c>
      <c r="F7" s="6" t="s">
        <v>17</v>
      </c>
    </row>
    <row r="8" customFormat="false" ht="91.5" hidden="false" customHeight="true" outlineLevel="0" collapsed="false">
      <c r="A8" s="4" t="s">
        <v>18</v>
      </c>
      <c r="B8" s="8" t="n">
        <f aca="false">'Megaphone Technology'!$B$6</f>
        <v>1003</v>
      </c>
      <c r="C8" s="8" t="n">
        <f aca="false">'Megaphone Technology'!$B$5</f>
        <v>6200</v>
      </c>
      <c r="D8" s="9" t="n">
        <f aca="false">SUM('Megaphone Technology'!$B$5:$B$34)-'Megaphone Technology'!$B$6-'Megaphone Technology'!$B$5</f>
        <v>2429</v>
      </c>
      <c r="E8" s="5" t="s">
        <v>11</v>
      </c>
      <c r="F8" s="6" t="s">
        <v>19</v>
      </c>
    </row>
    <row r="9" customFormat="false" ht="60" hidden="false" customHeight="true" outlineLevel="0" collapsed="false">
      <c r="A9" s="4" t="s">
        <v>20</v>
      </c>
      <c r="B9" s="5" t="s">
        <v>11</v>
      </c>
      <c r="C9" s="7" t="n">
        <v>587</v>
      </c>
      <c r="D9" s="5" t="s">
        <v>11</v>
      </c>
      <c r="E9" s="5" t="s">
        <v>11</v>
      </c>
      <c r="F9" s="6" t="s">
        <v>21</v>
      </c>
    </row>
    <row r="10" customFormat="false" ht="48" hidden="false" customHeight="true" outlineLevel="0" collapsed="false">
      <c r="A10" s="4" t="s">
        <v>22</v>
      </c>
      <c r="B10" s="5" t="s">
        <v>11</v>
      </c>
      <c r="C10" s="7" t="n">
        <v>409</v>
      </c>
      <c r="D10" s="5" t="s">
        <v>11</v>
      </c>
      <c r="E10" s="5" t="s">
        <v>11</v>
      </c>
      <c r="F10" s="6" t="s">
        <v>23</v>
      </c>
    </row>
    <row r="11" customFormat="false" ht="73.5" hidden="false" customHeight="true" outlineLevel="0" collapsed="false">
      <c r="A11" s="4" t="s">
        <v>24</v>
      </c>
      <c r="B11" s="5" t="s">
        <v>11</v>
      </c>
      <c r="C11" s="10" t="n">
        <v>1217</v>
      </c>
      <c r="D11" s="5" t="s">
        <v>11</v>
      </c>
      <c r="E11" s="10" t="n">
        <v>241.5</v>
      </c>
      <c r="F11" s="6" t="s">
        <v>25</v>
      </c>
    </row>
    <row r="12" customFormat="false" ht="39.75" hidden="false" customHeight="true" outlineLevel="0" collapsed="false">
      <c r="A12" s="4" t="s">
        <v>26</v>
      </c>
      <c r="B12" s="5" t="s">
        <v>11</v>
      </c>
      <c r="C12" s="7" t="n">
        <v>930</v>
      </c>
      <c r="D12" s="5" t="s">
        <v>11</v>
      </c>
      <c r="E12" s="5" t="s">
        <v>11</v>
      </c>
      <c r="F12" s="6" t="s">
        <v>27</v>
      </c>
    </row>
    <row r="13" customFormat="false" ht="36" hidden="false" customHeight="true" outlineLevel="0" collapsed="false">
      <c r="A13" s="4" t="s">
        <v>28</v>
      </c>
      <c r="B13" s="5" t="s">
        <v>11</v>
      </c>
      <c r="C13" s="7" t="n">
        <v>287</v>
      </c>
      <c r="D13" s="5" t="s">
        <v>11</v>
      </c>
      <c r="E13" s="5" t="s">
        <v>11</v>
      </c>
      <c r="F13" s="6" t="s">
        <v>29</v>
      </c>
    </row>
    <row r="14" customFormat="false" ht="73.5" hidden="false" customHeight="true" outlineLevel="0" collapsed="false">
      <c r="A14" s="4" t="s">
        <v>30</v>
      </c>
      <c r="B14" s="5" t="s">
        <v>11</v>
      </c>
      <c r="C14" s="5" t="s">
        <v>11</v>
      </c>
      <c r="D14" s="5" t="s">
        <v>11</v>
      </c>
      <c r="E14" s="7" t="n">
        <v>17427</v>
      </c>
      <c r="F14" s="6" t="s">
        <v>31</v>
      </c>
    </row>
    <row r="16" customFormat="false" ht="15" hidden="false" customHeight="false" outlineLevel="0" collapsed="false">
      <c r="A16" s="11" t="s">
        <v>32</v>
      </c>
    </row>
    <row r="17" customFormat="false" ht="78" hidden="false" customHeight="true" outlineLevel="0" collapsed="false">
      <c r="A17" s="12" t="s">
        <v>33</v>
      </c>
      <c r="B17" s="12"/>
      <c r="C17" s="12"/>
      <c r="D17" s="12"/>
      <c r="E17" s="12"/>
      <c r="F17" s="12"/>
    </row>
    <row r="19" customFormat="false" ht="16.15" hidden="false" customHeight="false" outlineLevel="0" collapsed="false">
      <c r="A19" s="1" t="s">
        <v>34</v>
      </c>
    </row>
    <row r="20" customFormat="false" ht="25.5" hidden="false" customHeight="true" outlineLevel="0" collapsed="false">
      <c r="A20" s="13" t="s">
        <v>35</v>
      </c>
      <c r="B20" s="13"/>
      <c r="C20" s="13"/>
      <c r="D20" s="13"/>
      <c r="E20" s="13"/>
      <c r="F20" s="13"/>
    </row>
    <row r="21" customFormat="false" ht="25.5" hidden="false" customHeight="true" outlineLevel="0" collapsed="false">
      <c r="A21" s="13" t="s">
        <v>36</v>
      </c>
      <c r="B21" s="13"/>
      <c r="C21" s="13"/>
      <c r="D21" s="13"/>
      <c r="E21" s="13"/>
      <c r="F21" s="13"/>
    </row>
    <row r="22" customFormat="false" ht="25.5" hidden="false" customHeight="true" outlineLevel="0" collapsed="false">
      <c r="A22" s="13" t="s">
        <v>37</v>
      </c>
      <c r="B22" s="13"/>
      <c r="C22" s="13"/>
      <c r="D22" s="13"/>
      <c r="E22" s="13"/>
      <c r="F22" s="13"/>
    </row>
    <row r="23" customFormat="false" ht="25.5" hidden="false" customHeight="true" outlineLevel="0" collapsed="false">
      <c r="A23" s="13" t="s">
        <v>38</v>
      </c>
      <c r="B23" s="13"/>
      <c r="C23" s="13"/>
      <c r="D23" s="13"/>
      <c r="E23" s="13"/>
      <c r="F23" s="13"/>
    </row>
  </sheetData>
  <autoFilter ref="A4:F14"/>
  <mergeCells count="5">
    <mergeCell ref="A17:F17"/>
    <mergeCell ref="A20:F20"/>
    <mergeCell ref="A21:F21"/>
    <mergeCell ref="A22:F22"/>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14"/>
    <col collapsed="false" customWidth="true" hidden="false" outlineLevel="0" max="2" min="2" style="14" width="13"/>
    <col collapsed="false" customWidth="true" hidden="false" outlineLevel="0" max="3" min="3" style="14" width="16"/>
  </cols>
  <sheetData>
    <row r="1" customFormat="false" ht="26.25" hidden="false" customHeight="true" outlineLevel="0" collapsed="false">
      <c r="A1" s="3" t="s">
        <v>39</v>
      </c>
      <c r="B1" s="3" t="s">
        <v>40</v>
      </c>
      <c r="C1" s="3" t="s">
        <v>41</v>
      </c>
    </row>
    <row r="2" customFormat="false" ht="15" hidden="false" customHeight="true" outlineLevel="0" collapsed="false">
      <c r="A2" s="15" t="n">
        <v>46023</v>
      </c>
      <c r="B2" s="16" t="n">
        <v>0</v>
      </c>
      <c r="C2" s="16" t="n">
        <v>0</v>
      </c>
    </row>
    <row r="3" customFormat="false" ht="15" hidden="false" customHeight="true" outlineLevel="0" collapsed="false">
      <c r="A3" s="15" t="n">
        <v>46024</v>
      </c>
      <c r="B3" s="16" t="n">
        <v>0</v>
      </c>
      <c r="C3" s="16" t="n">
        <v>0</v>
      </c>
    </row>
    <row r="4" customFormat="false" ht="15" hidden="false" customHeight="true" outlineLevel="0" collapsed="false">
      <c r="A4" s="15" t="n">
        <v>46025</v>
      </c>
      <c r="B4" s="16" t="n">
        <v>0</v>
      </c>
      <c r="C4" s="16" t="n">
        <v>0</v>
      </c>
    </row>
    <row r="5" customFormat="false" ht="15" hidden="false" customHeight="true" outlineLevel="0" collapsed="false">
      <c r="A5" s="15" t="n">
        <v>46026</v>
      </c>
      <c r="B5" s="16" t="n">
        <v>0</v>
      </c>
      <c r="C5" s="16" t="n">
        <v>0</v>
      </c>
    </row>
    <row r="6" customFormat="false" ht="15" hidden="false" customHeight="true" outlineLevel="0" collapsed="false">
      <c r="A6" s="15" t="n">
        <v>46027</v>
      </c>
      <c r="B6" s="16" t="n">
        <v>0</v>
      </c>
      <c r="C6" s="16" t="n">
        <v>0</v>
      </c>
    </row>
    <row r="7" customFormat="false" ht="15" hidden="false" customHeight="true" outlineLevel="0" collapsed="false">
      <c r="A7" s="15" t="n">
        <v>46028</v>
      </c>
      <c r="B7" s="16" t="n">
        <v>0</v>
      </c>
      <c r="C7" s="16" t="n">
        <v>0</v>
      </c>
    </row>
    <row r="8" customFormat="false" ht="15" hidden="false" customHeight="true" outlineLevel="0" collapsed="false">
      <c r="A8" s="15" t="n">
        <v>46029</v>
      </c>
      <c r="B8" s="16" t="n">
        <v>0</v>
      </c>
      <c r="C8" s="16" t="n">
        <v>0</v>
      </c>
    </row>
    <row r="9" customFormat="false" ht="15" hidden="false" customHeight="true" outlineLevel="0" collapsed="false">
      <c r="A9" s="15" t="n">
        <v>46030</v>
      </c>
      <c r="B9" s="16" t="n">
        <v>0</v>
      </c>
      <c r="C9" s="16" t="n">
        <v>0</v>
      </c>
    </row>
    <row r="10" customFormat="false" ht="15" hidden="false" customHeight="true" outlineLevel="0" collapsed="false">
      <c r="A10" s="15" t="n">
        <v>46031</v>
      </c>
      <c r="B10" s="16" t="n">
        <v>0</v>
      </c>
      <c r="C10" s="16" t="n">
        <v>0</v>
      </c>
    </row>
    <row r="11" customFormat="false" ht="15" hidden="false" customHeight="true" outlineLevel="0" collapsed="false">
      <c r="A11" s="15" t="n">
        <v>46032</v>
      </c>
      <c r="B11" s="16" t="n">
        <v>0</v>
      </c>
      <c r="C11" s="16" t="n">
        <v>0</v>
      </c>
    </row>
    <row r="12" customFormat="false" ht="15" hidden="false" customHeight="true" outlineLevel="0" collapsed="false">
      <c r="A12" s="15" t="n">
        <v>46033</v>
      </c>
      <c r="B12" s="16" t="n">
        <v>0</v>
      </c>
      <c r="C12" s="16" t="n">
        <v>0</v>
      </c>
    </row>
    <row r="13" customFormat="false" ht="15" hidden="false" customHeight="true" outlineLevel="0" collapsed="false">
      <c r="A13" s="15" t="n">
        <v>46034</v>
      </c>
      <c r="B13" s="16" t="n">
        <v>0</v>
      </c>
      <c r="C13" s="16" t="n">
        <v>0</v>
      </c>
    </row>
    <row r="14" customFormat="false" ht="15" hidden="false" customHeight="true" outlineLevel="0" collapsed="false">
      <c r="A14" s="15" t="n">
        <v>46035</v>
      </c>
      <c r="B14" s="16" t="n">
        <v>0</v>
      </c>
      <c r="C14" s="16" t="n">
        <v>0</v>
      </c>
    </row>
    <row r="15" customFormat="false" ht="15" hidden="false" customHeight="true" outlineLevel="0" collapsed="false">
      <c r="A15" s="15" t="n">
        <v>46036</v>
      </c>
      <c r="B15" s="16" t="n">
        <v>0</v>
      </c>
      <c r="C15" s="16" t="n">
        <v>0</v>
      </c>
    </row>
    <row r="16" customFormat="false" ht="15" hidden="false" customHeight="true" outlineLevel="0" collapsed="false">
      <c r="A16" s="15" t="n">
        <v>46037</v>
      </c>
      <c r="B16" s="16" t="n">
        <v>0</v>
      </c>
      <c r="C16" s="16" t="n">
        <v>0</v>
      </c>
    </row>
    <row r="17" customFormat="false" ht="15" hidden="false" customHeight="true" outlineLevel="0" collapsed="false">
      <c r="A17" s="15" t="n">
        <v>46038</v>
      </c>
      <c r="B17" s="16" t="n">
        <v>0</v>
      </c>
      <c r="C17" s="16" t="n">
        <v>0</v>
      </c>
    </row>
    <row r="18" customFormat="false" ht="15" hidden="false" customHeight="true" outlineLevel="0" collapsed="false">
      <c r="A18" s="15" t="n">
        <v>46039</v>
      </c>
      <c r="B18" s="16" t="n">
        <v>0</v>
      </c>
      <c r="C18" s="16" t="n">
        <v>0</v>
      </c>
    </row>
    <row r="19" customFormat="false" ht="15" hidden="false" customHeight="true" outlineLevel="0" collapsed="false">
      <c r="A19" s="15" t="n">
        <v>46040</v>
      </c>
      <c r="B19" s="16" t="n">
        <v>0</v>
      </c>
      <c r="C19" s="16" t="n">
        <v>0</v>
      </c>
    </row>
    <row r="20" customFormat="false" ht="15" hidden="false" customHeight="true" outlineLevel="0" collapsed="false">
      <c r="A20" s="15" t="n">
        <v>46041</v>
      </c>
      <c r="B20" s="16" t="n">
        <v>0</v>
      </c>
      <c r="C20" s="16" t="n">
        <v>0</v>
      </c>
    </row>
    <row r="21" customFormat="false" ht="15" hidden="false" customHeight="true" outlineLevel="0" collapsed="false">
      <c r="A21" s="15" t="n">
        <v>46042</v>
      </c>
      <c r="B21" s="16" t="n">
        <v>0</v>
      </c>
      <c r="C21" s="16" t="n">
        <v>0</v>
      </c>
    </row>
    <row r="22" customFormat="false" ht="15" hidden="false" customHeight="true" outlineLevel="0" collapsed="false">
      <c r="A22" s="15" t="n">
        <v>46043</v>
      </c>
      <c r="B22" s="16" t="n">
        <v>0</v>
      </c>
      <c r="C22" s="16" t="n">
        <v>0</v>
      </c>
    </row>
    <row r="23" customFormat="false" ht="15" hidden="false" customHeight="true" outlineLevel="0" collapsed="false">
      <c r="A23" s="15" t="n">
        <v>46044</v>
      </c>
      <c r="B23" s="16" t="n">
        <v>0</v>
      </c>
      <c r="C23" s="16" t="n">
        <v>0</v>
      </c>
    </row>
    <row r="24" customFormat="false" ht="15" hidden="false" customHeight="true" outlineLevel="0" collapsed="false">
      <c r="A24" s="15" t="n">
        <v>46045</v>
      </c>
      <c r="B24" s="16" t="n">
        <v>0</v>
      </c>
      <c r="C24" s="16" t="n">
        <v>0</v>
      </c>
    </row>
    <row r="25" customFormat="false" ht="15" hidden="false" customHeight="true" outlineLevel="0" collapsed="false">
      <c r="A25" s="15" t="n">
        <v>46046</v>
      </c>
      <c r="B25" s="16" t="n">
        <v>0</v>
      </c>
      <c r="C25" s="16" t="n">
        <v>0</v>
      </c>
    </row>
    <row r="26" customFormat="false" ht="15" hidden="false" customHeight="true" outlineLevel="0" collapsed="false">
      <c r="A26" s="15" t="n">
        <v>46047</v>
      </c>
      <c r="B26" s="16" t="n">
        <v>0</v>
      </c>
      <c r="C26" s="16" t="n">
        <v>0</v>
      </c>
    </row>
    <row r="27" customFormat="false" ht="15" hidden="false" customHeight="true" outlineLevel="0" collapsed="false">
      <c r="A27" s="15" t="n">
        <v>46048</v>
      </c>
      <c r="B27" s="16" t="n">
        <v>0</v>
      </c>
      <c r="C27" s="16" t="n">
        <v>0</v>
      </c>
    </row>
    <row r="28" customFormat="false" ht="15" hidden="false" customHeight="true" outlineLevel="0" collapsed="false">
      <c r="A28" s="15" t="n">
        <v>46049</v>
      </c>
      <c r="B28" s="16" t="n">
        <v>0</v>
      </c>
      <c r="C28" s="16" t="n">
        <v>0</v>
      </c>
    </row>
    <row r="29" customFormat="false" ht="15" hidden="false" customHeight="true" outlineLevel="0" collapsed="false">
      <c r="A29" s="15" t="n">
        <v>46050</v>
      </c>
      <c r="B29" s="16" t="n">
        <v>0</v>
      </c>
      <c r="C29" s="16" t="n">
        <v>0</v>
      </c>
    </row>
    <row r="30" customFormat="false" ht="15" hidden="false" customHeight="true" outlineLevel="0" collapsed="false">
      <c r="A30" s="15" t="n">
        <v>46051</v>
      </c>
      <c r="B30" s="16" t="n">
        <v>0</v>
      </c>
      <c r="C30" s="16" t="n">
        <v>0</v>
      </c>
    </row>
    <row r="31" customFormat="false" ht="15" hidden="false" customHeight="true" outlineLevel="0" collapsed="false">
      <c r="A31" s="15" t="n">
        <v>46052</v>
      </c>
      <c r="B31" s="16" t="n">
        <v>0</v>
      </c>
      <c r="C31" s="16" t="n">
        <v>0</v>
      </c>
    </row>
    <row r="32" customFormat="false" ht="15" hidden="false" customHeight="true" outlineLevel="0" collapsed="false">
      <c r="A32" s="15" t="n">
        <v>46053</v>
      </c>
      <c r="B32" s="16" t="n">
        <v>0</v>
      </c>
      <c r="C32" s="16" t="n">
        <v>0</v>
      </c>
    </row>
    <row r="33" customFormat="false" ht="15" hidden="false" customHeight="true" outlineLevel="0" collapsed="false">
      <c r="A33" s="15" t="n">
        <v>46054</v>
      </c>
      <c r="B33" s="16" t="n">
        <v>0</v>
      </c>
      <c r="C33" s="16" t="n">
        <v>0</v>
      </c>
    </row>
    <row r="34" customFormat="false" ht="15" hidden="false" customHeight="true" outlineLevel="0" collapsed="false">
      <c r="A34" s="15" t="n">
        <v>46055</v>
      </c>
      <c r="B34" s="16" t="n">
        <v>0</v>
      </c>
      <c r="C34" s="16" t="n">
        <v>0</v>
      </c>
    </row>
    <row r="35" customFormat="false" ht="15" hidden="false" customHeight="true" outlineLevel="0" collapsed="false">
      <c r="A35" s="15" t="n">
        <v>46056</v>
      </c>
      <c r="B35" s="16" t="n">
        <v>0</v>
      </c>
      <c r="C35" s="16" t="n">
        <v>0</v>
      </c>
    </row>
    <row r="36" customFormat="false" ht="15" hidden="false" customHeight="true" outlineLevel="0" collapsed="false">
      <c r="A36" s="15" t="n">
        <v>46057</v>
      </c>
      <c r="B36" s="16" t="n">
        <v>0</v>
      </c>
      <c r="C36" s="16" t="n">
        <v>0</v>
      </c>
    </row>
    <row r="37" customFormat="false" ht="15" hidden="false" customHeight="true" outlineLevel="0" collapsed="false">
      <c r="A37" s="15" t="n">
        <v>46058</v>
      </c>
      <c r="B37" s="16" t="n">
        <v>0</v>
      </c>
      <c r="C37" s="16" t="n">
        <v>0</v>
      </c>
    </row>
    <row r="38" customFormat="false" ht="15" hidden="false" customHeight="true" outlineLevel="0" collapsed="false">
      <c r="A38" s="15" t="n">
        <v>46059</v>
      </c>
      <c r="B38" s="16" t="n">
        <v>0</v>
      </c>
      <c r="C38" s="16" t="n">
        <v>0</v>
      </c>
    </row>
    <row r="39" customFormat="false" ht="15" hidden="false" customHeight="true" outlineLevel="0" collapsed="false">
      <c r="A39" s="15" t="n">
        <v>46060</v>
      </c>
      <c r="B39" s="16" t="n">
        <v>0</v>
      </c>
      <c r="C39" s="16" t="n">
        <v>0</v>
      </c>
    </row>
    <row r="40" customFormat="false" ht="15" hidden="false" customHeight="true" outlineLevel="0" collapsed="false">
      <c r="A40" s="15" t="n">
        <v>46061</v>
      </c>
      <c r="B40" s="16" t="n">
        <v>0</v>
      </c>
      <c r="C40" s="16" t="n">
        <v>0</v>
      </c>
    </row>
    <row r="41" customFormat="false" ht="15" hidden="false" customHeight="true" outlineLevel="0" collapsed="false">
      <c r="A41" s="15" t="n">
        <v>46062</v>
      </c>
      <c r="B41" s="16" t="n">
        <v>0</v>
      </c>
      <c r="C41" s="16" t="n">
        <v>0</v>
      </c>
    </row>
    <row r="42" customFormat="false" ht="15" hidden="false" customHeight="true" outlineLevel="0" collapsed="false">
      <c r="A42" s="15" t="n">
        <v>46063</v>
      </c>
      <c r="B42" s="16" t="n">
        <v>0</v>
      </c>
      <c r="C42" s="16" t="n">
        <v>0</v>
      </c>
    </row>
    <row r="43" customFormat="false" ht="15" hidden="false" customHeight="true" outlineLevel="0" collapsed="false">
      <c r="A43" s="15" t="n">
        <v>46064</v>
      </c>
      <c r="B43" s="16" t="n">
        <v>0</v>
      </c>
      <c r="C43" s="16" t="n">
        <v>0</v>
      </c>
    </row>
    <row r="44" customFormat="false" ht="15" hidden="false" customHeight="true" outlineLevel="0" collapsed="false">
      <c r="A44" s="15" t="n">
        <v>46065</v>
      </c>
      <c r="B44" s="16" t="n">
        <v>0</v>
      </c>
      <c r="C44" s="16" t="n">
        <v>0</v>
      </c>
    </row>
    <row r="45" customFormat="false" ht="15" hidden="false" customHeight="true" outlineLevel="0" collapsed="false">
      <c r="A45" s="15" t="n">
        <v>46066</v>
      </c>
      <c r="B45" s="16" t="n">
        <v>2</v>
      </c>
      <c r="C45" s="16" t="n">
        <v>2</v>
      </c>
    </row>
    <row r="46" customFormat="false" ht="15" hidden="false" customHeight="true" outlineLevel="0" collapsed="false">
      <c r="A46" s="15" t="n">
        <v>46067</v>
      </c>
      <c r="B46" s="16" t="n">
        <v>0</v>
      </c>
      <c r="C46" s="16" t="n">
        <v>0</v>
      </c>
    </row>
    <row r="47" customFormat="false" ht="15" hidden="false" customHeight="true" outlineLevel="0" collapsed="false">
      <c r="A47" s="15" t="n">
        <v>46068</v>
      </c>
      <c r="B47" s="16" t="n">
        <v>0</v>
      </c>
      <c r="C47" s="16" t="n">
        <v>0</v>
      </c>
    </row>
    <row r="48" customFormat="false" ht="15" hidden="false" customHeight="true" outlineLevel="0" collapsed="false">
      <c r="A48" s="15" t="n">
        <v>46069</v>
      </c>
      <c r="B48" s="16" t="n">
        <v>0</v>
      </c>
      <c r="C48" s="16" t="n">
        <v>0</v>
      </c>
    </row>
    <row r="49" customFormat="false" ht="15" hidden="false" customHeight="true" outlineLevel="0" collapsed="false">
      <c r="A49" s="15" t="n">
        <v>46070</v>
      </c>
      <c r="B49" s="16" t="n">
        <v>0</v>
      </c>
      <c r="C49" s="16" t="n">
        <v>0</v>
      </c>
    </row>
    <row r="50" customFormat="false" ht="15" hidden="false" customHeight="true" outlineLevel="0" collapsed="false">
      <c r="A50" s="15" t="n">
        <v>46071</v>
      </c>
      <c r="B50" s="16" t="n">
        <v>4</v>
      </c>
      <c r="C50" s="16" t="n">
        <v>2</v>
      </c>
    </row>
    <row r="51" customFormat="false" ht="15" hidden="false" customHeight="true" outlineLevel="0" collapsed="false">
      <c r="A51" s="15" t="n">
        <v>46072</v>
      </c>
      <c r="B51" s="16" t="n">
        <v>4</v>
      </c>
      <c r="C51" s="16" t="n">
        <v>1</v>
      </c>
    </row>
    <row r="52" customFormat="false" ht="15" hidden="false" customHeight="true" outlineLevel="0" collapsed="false">
      <c r="A52" s="15" t="n">
        <v>46073</v>
      </c>
      <c r="B52" s="16" t="n">
        <v>1</v>
      </c>
      <c r="C52" s="16" t="n">
        <v>1</v>
      </c>
    </row>
    <row r="53" customFormat="false" ht="15" hidden="false" customHeight="true" outlineLevel="0" collapsed="false">
      <c r="A53" s="15" t="n">
        <v>46074</v>
      </c>
      <c r="B53" s="16" t="n">
        <v>2</v>
      </c>
      <c r="C53" s="16" t="n">
        <v>1</v>
      </c>
    </row>
    <row r="54" customFormat="false" ht="15" hidden="false" customHeight="true" outlineLevel="0" collapsed="false">
      <c r="A54" s="15" t="n">
        <v>46075</v>
      </c>
      <c r="B54" s="16" t="n">
        <v>15</v>
      </c>
      <c r="C54" s="16" t="n">
        <v>6</v>
      </c>
    </row>
    <row r="55" customFormat="false" ht="15" hidden="false" customHeight="true" outlineLevel="0" collapsed="false">
      <c r="A55" s="15" t="n">
        <v>46076</v>
      </c>
      <c r="B55" s="16" t="n">
        <v>285</v>
      </c>
      <c r="C55" s="16" t="n">
        <v>153</v>
      </c>
    </row>
    <row r="56" customFormat="false" ht="15" hidden="false" customHeight="true" outlineLevel="0" collapsed="false">
      <c r="A56" s="15" t="n">
        <v>46077</v>
      </c>
      <c r="B56" s="16" t="n">
        <v>265</v>
      </c>
      <c r="C56" s="16" t="n">
        <v>163</v>
      </c>
    </row>
    <row r="57" customFormat="false" ht="15" hidden="false" customHeight="true" outlineLevel="0" collapsed="false">
      <c r="A57" s="15" t="n">
        <v>46078</v>
      </c>
      <c r="B57" s="16" t="n">
        <v>187</v>
      </c>
      <c r="C57" s="16" t="n">
        <v>109</v>
      </c>
    </row>
    <row r="58" customFormat="false" ht="15" hidden="false" customHeight="true" outlineLevel="0" collapsed="false">
      <c r="A58" s="15" t="n">
        <v>46079</v>
      </c>
      <c r="B58" s="16" t="n">
        <v>101</v>
      </c>
      <c r="C58" s="16" t="n">
        <v>62</v>
      </c>
    </row>
    <row r="59" customFormat="false" ht="15" hidden="false" customHeight="true" outlineLevel="0" collapsed="false">
      <c r="A59" s="15" t="n">
        <v>46080</v>
      </c>
      <c r="B59" s="16" t="n">
        <v>80</v>
      </c>
      <c r="C59" s="16" t="n">
        <v>51</v>
      </c>
    </row>
    <row r="60" customFormat="false" ht="15" hidden="false" customHeight="true" outlineLevel="0" collapsed="false">
      <c r="A60" s="15" t="n">
        <v>46081</v>
      </c>
      <c r="B60" s="16" t="n">
        <v>40</v>
      </c>
      <c r="C60" s="16" t="n">
        <v>23</v>
      </c>
    </row>
    <row r="61" customFormat="false" ht="15" hidden="false" customHeight="true" outlineLevel="0" collapsed="false">
      <c r="A61" s="15" t="n">
        <v>46082</v>
      </c>
      <c r="B61" s="16" t="n">
        <v>33</v>
      </c>
      <c r="C61" s="16" t="n">
        <v>23</v>
      </c>
    </row>
    <row r="62" customFormat="false" ht="15" hidden="false" customHeight="true" outlineLevel="0" collapsed="false">
      <c r="A62" s="15" t="n">
        <v>46083</v>
      </c>
      <c r="B62" s="16" t="n">
        <v>163</v>
      </c>
      <c r="C62" s="16" t="n">
        <v>134</v>
      </c>
    </row>
    <row r="63" customFormat="false" ht="15" hidden="false" customHeight="true" outlineLevel="0" collapsed="false">
      <c r="A63" s="15" t="n">
        <v>46084</v>
      </c>
      <c r="B63" s="16" t="n">
        <v>110</v>
      </c>
      <c r="C63" s="16" t="n">
        <v>79</v>
      </c>
    </row>
    <row r="64" customFormat="false" ht="15" hidden="false" customHeight="true" outlineLevel="0" collapsed="false">
      <c r="A64" s="15" t="n">
        <v>46085</v>
      </c>
      <c r="B64" s="16" t="n">
        <v>60</v>
      </c>
      <c r="C64" s="16" t="n">
        <v>44</v>
      </c>
    </row>
    <row r="65" customFormat="false" ht="15" hidden="false" customHeight="true" outlineLevel="0" collapsed="false">
      <c r="A65" s="15" t="n">
        <v>46086</v>
      </c>
      <c r="B65" s="16" t="n">
        <v>68</v>
      </c>
      <c r="C65" s="16" t="n">
        <v>47</v>
      </c>
    </row>
    <row r="66" customFormat="false" ht="15" hidden="false" customHeight="true" outlineLevel="0" collapsed="false">
      <c r="A66" s="15" t="n">
        <v>46087</v>
      </c>
      <c r="B66" s="16" t="n">
        <v>107</v>
      </c>
      <c r="C66" s="16" t="n">
        <v>72</v>
      </c>
    </row>
    <row r="67" customFormat="false" ht="15" hidden="false" customHeight="true" outlineLevel="0" collapsed="false">
      <c r="A67" s="15" t="n">
        <v>46088</v>
      </c>
      <c r="B67" s="16" t="n">
        <v>60</v>
      </c>
      <c r="C67" s="16" t="n">
        <v>47</v>
      </c>
    </row>
    <row r="68" customFormat="false" ht="15" hidden="false" customHeight="true" outlineLevel="0" collapsed="false">
      <c r="A68" s="15" t="n">
        <v>46089</v>
      </c>
      <c r="B68" s="16" t="n">
        <v>36</v>
      </c>
      <c r="C68" s="16" t="n">
        <v>30</v>
      </c>
    </row>
    <row r="69" customFormat="false" ht="15" hidden="false" customHeight="true" outlineLevel="0" collapsed="false">
      <c r="A69" s="15" t="n">
        <v>46090</v>
      </c>
      <c r="B69" s="16" t="n">
        <v>193</v>
      </c>
      <c r="C69" s="16" t="n">
        <v>143</v>
      </c>
    </row>
    <row r="70" customFormat="false" ht="15" hidden="false" customHeight="true" outlineLevel="0" collapsed="false">
      <c r="A70" s="15" t="n">
        <v>46091</v>
      </c>
      <c r="B70" s="16" t="n">
        <v>155</v>
      </c>
      <c r="C70" s="16" t="n">
        <v>123</v>
      </c>
    </row>
    <row r="71" customFormat="false" ht="15" hidden="false" customHeight="true" outlineLevel="0" collapsed="false">
      <c r="A71" s="15" t="n">
        <v>46092</v>
      </c>
      <c r="B71" s="16" t="n">
        <v>226</v>
      </c>
      <c r="C71" s="16" t="n">
        <v>176</v>
      </c>
    </row>
    <row r="72" customFormat="false" ht="15" hidden="false" customHeight="true" outlineLevel="0" collapsed="false">
      <c r="A72" s="15" t="n">
        <v>46093</v>
      </c>
      <c r="B72" s="16" t="n">
        <v>68</v>
      </c>
      <c r="C72" s="16" t="n">
        <v>52</v>
      </c>
    </row>
    <row r="73" customFormat="false" ht="15" hidden="false" customHeight="true" outlineLevel="0" collapsed="false">
      <c r="A73" s="15" t="n">
        <v>46094</v>
      </c>
      <c r="B73" s="16" t="n">
        <v>93</v>
      </c>
      <c r="C73" s="16" t="n">
        <v>55</v>
      </c>
    </row>
    <row r="74" customFormat="false" ht="15" hidden="false" customHeight="true" outlineLevel="0" collapsed="false">
      <c r="A74" s="15" t="n">
        <v>46095</v>
      </c>
      <c r="B74" s="16" t="n">
        <v>55</v>
      </c>
      <c r="C74" s="16" t="n">
        <v>40</v>
      </c>
    </row>
    <row r="75" customFormat="false" ht="15" hidden="false" customHeight="true" outlineLevel="0" collapsed="false">
      <c r="A75" s="15" t="n">
        <v>46096</v>
      </c>
      <c r="B75" s="16" t="n">
        <v>34</v>
      </c>
      <c r="C75" s="16" t="n">
        <v>26</v>
      </c>
    </row>
    <row r="76" customFormat="false" ht="15" hidden="false" customHeight="true" outlineLevel="0" collapsed="false">
      <c r="A76" s="15" t="n">
        <v>46097</v>
      </c>
      <c r="B76" s="16" t="n">
        <v>49</v>
      </c>
      <c r="C76" s="16" t="n">
        <v>31</v>
      </c>
    </row>
    <row r="77" customFormat="false" ht="15" hidden="false" customHeight="true" outlineLevel="0" collapsed="false">
      <c r="A77" s="15" t="n">
        <v>46098</v>
      </c>
      <c r="B77" s="16" t="n">
        <v>204</v>
      </c>
      <c r="C77" s="16" t="n">
        <v>154</v>
      </c>
    </row>
    <row r="78" customFormat="false" ht="15" hidden="false" customHeight="true" outlineLevel="0" collapsed="false">
      <c r="A78" s="15" t="n">
        <v>46099</v>
      </c>
      <c r="B78" s="16" t="n">
        <v>107</v>
      </c>
      <c r="C78" s="16" t="n">
        <v>73</v>
      </c>
    </row>
    <row r="79" customFormat="false" ht="15" hidden="false" customHeight="true" outlineLevel="0" collapsed="false">
      <c r="A79" s="15" t="n">
        <v>46100</v>
      </c>
      <c r="B79" s="16" t="n">
        <v>77</v>
      </c>
      <c r="C79" s="16" t="n">
        <v>43</v>
      </c>
    </row>
    <row r="80" customFormat="false" ht="15" hidden="false" customHeight="true" outlineLevel="0" collapsed="false">
      <c r="A80" s="15" t="n">
        <v>46101</v>
      </c>
      <c r="B80" s="16" t="n">
        <v>170</v>
      </c>
      <c r="C80" s="16" t="n">
        <v>98</v>
      </c>
    </row>
    <row r="81" customFormat="false" ht="15" hidden="false" customHeight="true" outlineLevel="0" collapsed="false">
      <c r="A81" s="15" t="n">
        <v>46102</v>
      </c>
      <c r="B81" s="16" t="n">
        <v>147</v>
      </c>
      <c r="C81" s="16" t="n">
        <v>94</v>
      </c>
    </row>
    <row r="82" customFormat="false" ht="15" hidden="false" customHeight="true" outlineLevel="0" collapsed="false">
      <c r="A82" s="15" t="n">
        <v>46103</v>
      </c>
      <c r="B82" s="16" t="n">
        <v>86</v>
      </c>
      <c r="C82" s="16" t="n">
        <v>57</v>
      </c>
    </row>
    <row r="83" customFormat="false" ht="15" hidden="false" customHeight="true" outlineLevel="0" collapsed="false">
      <c r="A83" s="15" t="n">
        <v>46104</v>
      </c>
      <c r="B83" s="16" t="n">
        <v>46</v>
      </c>
      <c r="C83" s="16" t="n">
        <v>35</v>
      </c>
    </row>
    <row r="84" customFormat="false" ht="15" hidden="false" customHeight="true" outlineLevel="0" collapsed="false">
      <c r="A84" s="15" t="n">
        <v>46105</v>
      </c>
      <c r="B84" s="16" t="n">
        <v>40</v>
      </c>
      <c r="C84" s="16" t="n">
        <v>33</v>
      </c>
    </row>
    <row r="85" customFormat="false" ht="15" hidden="false" customHeight="true" outlineLevel="0" collapsed="false">
      <c r="A85" s="15" t="n">
        <v>46106</v>
      </c>
      <c r="B85" s="16" t="n">
        <v>48</v>
      </c>
      <c r="C85" s="16" t="n">
        <v>30</v>
      </c>
    </row>
    <row r="86" customFormat="false" ht="15" hidden="false" customHeight="true" outlineLevel="0" collapsed="false">
      <c r="A86" s="15" t="n">
        <v>46107</v>
      </c>
      <c r="B86" s="16" t="n">
        <v>49</v>
      </c>
      <c r="C86" s="16" t="n">
        <v>30</v>
      </c>
    </row>
    <row r="87" customFormat="false" ht="15" hidden="false" customHeight="true" outlineLevel="0" collapsed="false">
      <c r="A87" s="15" t="n">
        <v>46108</v>
      </c>
      <c r="B87" s="16" t="n">
        <v>49</v>
      </c>
      <c r="C87" s="16" t="n">
        <v>28</v>
      </c>
    </row>
    <row r="88" customFormat="false" ht="15" hidden="false" customHeight="true" outlineLevel="0" collapsed="false">
      <c r="A88" s="15" t="n">
        <v>46109</v>
      </c>
      <c r="B88" s="16" t="n">
        <v>20</v>
      </c>
      <c r="C88" s="16" t="n">
        <v>13</v>
      </c>
    </row>
    <row r="89" customFormat="false" ht="15" hidden="false" customHeight="true" outlineLevel="0" collapsed="false">
      <c r="A89" s="15" t="n">
        <v>46110</v>
      </c>
      <c r="B89" s="16" t="n">
        <v>22</v>
      </c>
      <c r="C89" s="16" t="n">
        <v>15</v>
      </c>
    </row>
    <row r="90" customFormat="false" ht="15" hidden="false" customHeight="true" outlineLevel="0" collapsed="false">
      <c r="A90" s="15" t="n">
        <v>46111</v>
      </c>
      <c r="B90" s="16" t="n">
        <v>52</v>
      </c>
      <c r="C90" s="16" t="n">
        <v>29</v>
      </c>
    </row>
    <row r="91" customFormat="false" ht="15" hidden="false" customHeight="true" outlineLevel="0" collapsed="false">
      <c r="A91" s="15" t="n">
        <v>46112</v>
      </c>
      <c r="B91" s="16" t="n">
        <v>55</v>
      </c>
      <c r="C91" s="16" t="n">
        <v>30</v>
      </c>
    </row>
    <row r="92" customFormat="false" ht="15" hidden="false" customHeight="true" outlineLevel="0" collapsed="false">
      <c r="A92" s="15" t="n">
        <v>46113</v>
      </c>
      <c r="B92" s="16" t="n">
        <v>49</v>
      </c>
      <c r="C92" s="16" t="n">
        <v>24</v>
      </c>
    </row>
    <row r="93" customFormat="false" ht="15" hidden="false" customHeight="true" outlineLevel="0" collapsed="false">
      <c r="A93" s="15" t="n">
        <v>46114</v>
      </c>
      <c r="B93" s="16" t="n">
        <v>44</v>
      </c>
      <c r="C93" s="16" t="n">
        <v>21</v>
      </c>
    </row>
    <row r="94" customFormat="false" ht="15" hidden="false" customHeight="true" outlineLevel="0" collapsed="false">
      <c r="A94" s="15" t="n">
        <v>46115</v>
      </c>
      <c r="B94" s="16" t="n">
        <v>31</v>
      </c>
      <c r="C94" s="16" t="n">
        <v>17</v>
      </c>
    </row>
    <row r="95" customFormat="false" ht="15" hidden="false" customHeight="true" outlineLevel="0" collapsed="false">
      <c r="A95" s="15" t="n">
        <v>46116</v>
      </c>
      <c r="B95" s="16" t="n">
        <v>14</v>
      </c>
      <c r="C95" s="16" t="n">
        <v>8</v>
      </c>
    </row>
    <row r="96" customFormat="false" ht="15" hidden="false" customHeight="true" outlineLevel="0" collapsed="false">
      <c r="A96" s="15" t="n">
        <v>46117</v>
      </c>
      <c r="B96" s="16" t="n">
        <v>19</v>
      </c>
      <c r="C96" s="16" t="n">
        <v>15</v>
      </c>
    </row>
    <row r="97" customFormat="false" ht="15" hidden="false" customHeight="true" outlineLevel="0" collapsed="false">
      <c r="A97" s="15" t="n">
        <v>46118</v>
      </c>
      <c r="B97" s="16" t="n">
        <v>42</v>
      </c>
      <c r="C97" s="16" t="n">
        <v>24</v>
      </c>
    </row>
    <row r="98" customFormat="false" ht="15" hidden="false" customHeight="true" outlineLevel="0" collapsed="false">
      <c r="A98" s="15" t="n">
        <v>46119</v>
      </c>
      <c r="B98" s="16" t="n">
        <v>36</v>
      </c>
      <c r="C98" s="16" t="n">
        <v>12</v>
      </c>
    </row>
    <row r="99" customFormat="false" ht="15" hidden="false" customHeight="true" outlineLevel="0" collapsed="false">
      <c r="A99" s="15" t="n">
        <v>46120</v>
      </c>
      <c r="B99" s="16" t="n">
        <v>33</v>
      </c>
      <c r="C99" s="16" t="n">
        <v>14</v>
      </c>
    </row>
    <row r="100" customFormat="false" ht="15" hidden="false" customHeight="true" outlineLevel="0" collapsed="false">
      <c r="A100" s="15" t="n">
        <v>46121</v>
      </c>
      <c r="B100" s="16" t="n">
        <v>29</v>
      </c>
      <c r="C100" s="16" t="n">
        <v>15</v>
      </c>
    </row>
    <row r="101" customFormat="false" ht="15" hidden="false" customHeight="true" outlineLevel="0" collapsed="false">
      <c r="A101" s="15" t="n">
        <v>46122</v>
      </c>
      <c r="B101" s="16" t="n">
        <v>72</v>
      </c>
      <c r="C101" s="16" t="n">
        <v>46</v>
      </c>
    </row>
    <row r="102" customFormat="false" ht="15" hidden="false" customHeight="true" outlineLevel="0" collapsed="false">
      <c r="A102" s="15" t="n">
        <v>46123</v>
      </c>
      <c r="B102" s="16" t="n">
        <v>73</v>
      </c>
      <c r="C102" s="16" t="n">
        <v>46</v>
      </c>
    </row>
    <row r="103" customFormat="false" ht="15" hidden="false" customHeight="true" outlineLevel="0" collapsed="false">
      <c r="A103" s="15" t="n">
        <v>46124</v>
      </c>
      <c r="B103" s="16" t="n">
        <v>55</v>
      </c>
      <c r="C103" s="16" t="n">
        <v>39</v>
      </c>
    </row>
    <row r="104" customFormat="false" ht="15" hidden="false" customHeight="true" outlineLevel="0" collapsed="false">
      <c r="A104" s="15" t="n">
        <v>46125</v>
      </c>
      <c r="B104" s="16" t="n">
        <v>68</v>
      </c>
      <c r="C104" s="16" t="n">
        <v>53</v>
      </c>
    </row>
    <row r="105" customFormat="false" ht="15" hidden="false" customHeight="true" outlineLevel="0" collapsed="false">
      <c r="A105" s="15" t="n">
        <v>46126</v>
      </c>
      <c r="B105" s="16" t="n">
        <v>47</v>
      </c>
      <c r="C105" s="16" t="n">
        <v>34</v>
      </c>
    </row>
    <row r="106" customFormat="false" ht="15" hidden="false" customHeight="true" outlineLevel="0" collapsed="false">
      <c r="A106" s="15" t="n">
        <v>46127</v>
      </c>
      <c r="B106" s="16" t="n">
        <v>43</v>
      </c>
      <c r="C106" s="16" t="n">
        <v>29</v>
      </c>
    </row>
    <row r="107" customFormat="false" ht="15" hidden="false" customHeight="true" outlineLevel="0" collapsed="false">
      <c r="A107" s="15" t="n">
        <v>46128</v>
      </c>
      <c r="B107" s="16" t="n">
        <v>40</v>
      </c>
      <c r="C107" s="16" t="n">
        <v>22</v>
      </c>
    </row>
    <row r="108" customFormat="false" ht="15" hidden="false" customHeight="true" outlineLevel="0" collapsed="false">
      <c r="A108" s="15" t="n">
        <v>46129</v>
      </c>
      <c r="B108" s="16" t="n">
        <v>23</v>
      </c>
      <c r="C108" s="16" t="n">
        <v>16</v>
      </c>
    </row>
    <row r="109" customFormat="false" ht="15" hidden="false" customHeight="true" outlineLevel="0" collapsed="false">
      <c r="A109" s="15" t="n">
        <v>46130</v>
      </c>
      <c r="B109" s="16" t="n">
        <v>24</v>
      </c>
      <c r="C109" s="16" t="n">
        <v>16</v>
      </c>
    </row>
    <row r="110" customFormat="false" ht="15" hidden="false" customHeight="true" outlineLevel="0" collapsed="false">
      <c r="A110" s="15" t="n">
        <v>46131</v>
      </c>
      <c r="B110" s="16" t="n">
        <v>22</v>
      </c>
      <c r="C110" s="16" t="n">
        <v>8</v>
      </c>
    </row>
    <row r="111" customFormat="false" ht="15" hidden="false" customHeight="true" outlineLevel="0" collapsed="false">
      <c r="A111" s="15" t="n">
        <v>46132</v>
      </c>
      <c r="B111" s="16" t="n">
        <v>34</v>
      </c>
      <c r="C111" s="16" t="n">
        <v>18</v>
      </c>
    </row>
    <row r="112" customFormat="false" ht="15" hidden="false" customHeight="true" outlineLevel="0" collapsed="false">
      <c r="A112" s="15" t="n">
        <v>46133</v>
      </c>
      <c r="B112" s="16" t="n">
        <v>30</v>
      </c>
      <c r="C112" s="16" t="n">
        <v>17</v>
      </c>
    </row>
    <row r="113" customFormat="false" ht="15" hidden="false" customHeight="true" outlineLevel="0" collapsed="false">
      <c r="A113" s="15" t="n">
        <v>46134</v>
      </c>
      <c r="B113" s="16" t="n">
        <v>40</v>
      </c>
      <c r="C113" s="16" t="n">
        <v>23</v>
      </c>
    </row>
    <row r="114" customFormat="false" ht="15" hidden="false" customHeight="true" outlineLevel="0" collapsed="false">
      <c r="A114" s="15" t="n">
        <v>46135</v>
      </c>
      <c r="B114" s="16" t="n">
        <v>43</v>
      </c>
      <c r="C114" s="16" t="n">
        <v>27</v>
      </c>
    </row>
    <row r="115" customFormat="false" ht="15" hidden="false" customHeight="true" outlineLevel="0" collapsed="false">
      <c r="A115" s="15" t="n">
        <v>46136</v>
      </c>
      <c r="B115" s="16" t="n">
        <v>39</v>
      </c>
      <c r="C115" s="16" t="n">
        <v>21</v>
      </c>
    </row>
    <row r="116" customFormat="false" ht="15" hidden="false" customHeight="true" outlineLevel="0" collapsed="false">
      <c r="A116" s="15" t="n">
        <v>46137</v>
      </c>
      <c r="B116" s="16" t="n">
        <v>13</v>
      </c>
      <c r="C116" s="16" t="n">
        <v>10</v>
      </c>
    </row>
    <row r="117" customFormat="false" ht="15" hidden="false" customHeight="true" outlineLevel="0" collapsed="false">
      <c r="A117" s="15" t="n">
        <v>46138</v>
      </c>
      <c r="B117" s="16" t="n">
        <v>19</v>
      </c>
      <c r="C117" s="16" t="n">
        <v>10</v>
      </c>
    </row>
    <row r="118" customFormat="false" ht="15" hidden="false" customHeight="true" outlineLevel="0" collapsed="false">
      <c r="A118" s="15" t="n">
        <v>46139</v>
      </c>
      <c r="B118" s="16" t="n">
        <v>28</v>
      </c>
      <c r="C118" s="16" t="n">
        <v>12</v>
      </c>
    </row>
    <row r="119" customFormat="false" ht="15" hidden="false" customHeight="true" outlineLevel="0" collapsed="false">
      <c r="A119" s="15" t="n">
        <v>46140</v>
      </c>
      <c r="B119" s="16" t="n">
        <v>33</v>
      </c>
      <c r="C119" s="16" t="n">
        <v>18</v>
      </c>
    </row>
    <row r="120" customFormat="false" ht="15" hidden="false" customHeight="true" outlineLevel="0" collapsed="false">
      <c r="A120" s="15" t="n">
        <v>46141</v>
      </c>
      <c r="B120" s="16" t="n">
        <v>35</v>
      </c>
      <c r="C120" s="16" t="n">
        <v>18</v>
      </c>
    </row>
    <row r="121" customFormat="false" ht="15" hidden="false" customHeight="true" outlineLevel="0" collapsed="false">
      <c r="A121" s="15" t="n">
        <v>46142</v>
      </c>
      <c r="B121" s="16" t="n">
        <v>30</v>
      </c>
      <c r="C121" s="16" t="n">
        <v>12</v>
      </c>
    </row>
    <row r="122" customFormat="false" ht="15" hidden="false" customHeight="true" outlineLevel="0" collapsed="false">
      <c r="A122" s="15" t="n">
        <v>46143</v>
      </c>
      <c r="B122" s="16" t="n">
        <v>22</v>
      </c>
      <c r="C122" s="16" t="n">
        <v>9</v>
      </c>
    </row>
    <row r="123" customFormat="false" ht="15" hidden="false" customHeight="true" outlineLevel="0" collapsed="false">
      <c r="A123" s="15" t="n">
        <v>46144</v>
      </c>
      <c r="B123" s="16" t="n">
        <v>19</v>
      </c>
      <c r="C123" s="16" t="n">
        <v>16</v>
      </c>
    </row>
    <row r="124" customFormat="false" ht="15" hidden="false" customHeight="true" outlineLevel="0" collapsed="false">
      <c r="A124" s="15" t="n">
        <v>46145</v>
      </c>
      <c r="B124" s="16" t="n">
        <v>18</v>
      </c>
      <c r="C124" s="16" t="n">
        <v>7</v>
      </c>
    </row>
    <row r="125" customFormat="false" ht="15" hidden="false" customHeight="true" outlineLevel="0" collapsed="false">
      <c r="A125" s="15" t="n">
        <v>46146</v>
      </c>
      <c r="B125" s="16" t="n">
        <v>20</v>
      </c>
      <c r="C125" s="16" t="n">
        <v>9</v>
      </c>
    </row>
    <row r="126" customFormat="false" ht="15" hidden="false" customHeight="true" outlineLevel="0" collapsed="false">
      <c r="A126" s="15" t="n">
        <v>46147</v>
      </c>
      <c r="B126" s="16" t="n">
        <v>46</v>
      </c>
      <c r="C126" s="16" t="n">
        <v>24</v>
      </c>
    </row>
    <row r="127" customFormat="false" ht="15" hidden="false" customHeight="true" outlineLevel="0" collapsed="false">
      <c r="A127" s="15" t="n">
        <v>46148</v>
      </c>
      <c r="B127" s="16" t="n">
        <v>43</v>
      </c>
      <c r="C127" s="16" t="n">
        <v>28</v>
      </c>
    </row>
    <row r="128" customFormat="false" ht="15" hidden="false" customHeight="true" outlineLevel="0" collapsed="false">
      <c r="A128" s="15" t="n">
        <v>46149</v>
      </c>
      <c r="B128" s="16" t="n">
        <v>27</v>
      </c>
      <c r="C128" s="16" t="n">
        <v>15</v>
      </c>
    </row>
    <row r="129" customFormat="false" ht="15" hidden="false" customHeight="true" outlineLevel="0" collapsed="false">
      <c r="A129" s="15" t="n">
        <v>46150</v>
      </c>
      <c r="B129" s="16" t="n">
        <v>17</v>
      </c>
      <c r="C129" s="16" t="n">
        <v>10</v>
      </c>
    </row>
    <row r="130" customFormat="false" ht="15" hidden="false" customHeight="true" outlineLevel="0" collapsed="false">
      <c r="A130" s="15" t="n">
        <v>46151</v>
      </c>
      <c r="B130" s="16" t="n">
        <v>19</v>
      </c>
      <c r="C130" s="16" t="n">
        <v>7</v>
      </c>
    </row>
    <row r="131" customFormat="false" ht="15" hidden="false" customHeight="true" outlineLevel="0" collapsed="false">
      <c r="A131" s="15" t="n">
        <v>46152</v>
      </c>
      <c r="B131" s="16" t="n">
        <v>20</v>
      </c>
      <c r="C131" s="16" t="n">
        <v>13</v>
      </c>
    </row>
    <row r="132" customFormat="false" ht="15" hidden="false" customHeight="true" outlineLevel="0" collapsed="false">
      <c r="A132" s="15" t="n">
        <v>46153</v>
      </c>
      <c r="B132" s="16" t="n">
        <v>15</v>
      </c>
      <c r="C132" s="16" t="n">
        <v>7</v>
      </c>
    </row>
    <row r="133" customFormat="false" ht="15" hidden="false" customHeight="true" outlineLevel="0" collapsed="false">
      <c r="A133" s="15" t="n">
        <v>46154</v>
      </c>
      <c r="B133" s="16" t="n">
        <v>25</v>
      </c>
      <c r="C133" s="16" t="n">
        <v>13</v>
      </c>
    </row>
    <row r="134" customFormat="false" ht="15" hidden="false" customHeight="true" outlineLevel="0" collapsed="false">
      <c r="A134" s="15" t="n">
        <v>46155</v>
      </c>
      <c r="B134" s="16" t="n">
        <v>21</v>
      </c>
      <c r="C134" s="16" t="n">
        <v>17</v>
      </c>
    </row>
    <row r="135" customFormat="false" ht="15" hidden="false" customHeight="true" outlineLevel="0" collapsed="false">
      <c r="A135" s="15" t="n">
        <v>46156</v>
      </c>
      <c r="B135" s="16" t="n">
        <v>18</v>
      </c>
      <c r="C135" s="16" t="n">
        <v>8</v>
      </c>
    </row>
    <row r="136" customFormat="false" ht="15" hidden="false" customHeight="true" outlineLevel="0" collapsed="false">
      <c r="A136" s="15" t="n">
        <v>46157</v>
      </c>
      <c r="B136" s="16" t="n">
        <v>18</v>
      </c>
      <c r="C136" s="16" t="n">
        <v>8</v>
      </c>
    </row>
    <row r="137" customFormat="false" ht="15" hidden="false" customHeight="true" outlineLevel="0" collapsed="false">
      <c r="A137" s="15" t="n">
        <v>46158</v>
      </c>
      <c r="B137" s="16" t="n">
        <v>8</v>
      </c>
      <c r="C137" s="16" t="n">
        <v>7</v>
      </c>
    </row>
    <row r="138" customFormat="false" ht="15" hidden="false" customHeight="true" outlineLevel="0" collapsed="false">
      <c r="A138" s="15" t="n">
        <v>46159</v>
      </c>
      <c r="B138" s="16" t="n">
        <v>10</v>
      </c>
      <c r="C138" s="16" t="n">
        <v>7</v>
      </c>
    </row>
    <row r="139" customFormat="false" ht="15" hidden="false" customHeight="true" outlineLevel="0" collapsed="false">
      <c r="A139" s="15" t="n">
        <v>46160</v>
      </c>
      <c r="B139" s="16" t="n">
        <v>19</v>
      </c>
      <c r="C139" s="16" t="n">
        <v>11</v>
      </c>
    </row>
    <row r="140" customFormat="false" ht="15" hidden="false" customHeight="true" outlineLevel="0" collapsed="false">
      <c r="A140" s="15" t="n">
        <v>46161</v>
      </c>
      <c r="B140" s="16" t="n">
        <v>12</v>
      </c>
      <c r="C140" s="16" t="n">
        <v>6</v>
      </c>
    </row>
    <row r="141" customFormat="false" ht="15" hidden="false" customHeight="true" outlineLevel="0" collapsed="false">
      <c r="A141" s="15" t="n">
        <v>46162</v>
      </c>
      <c r="B141" s="16" t="n">
        <v>19</v>
      </c>
      <c r="C141" s="16" t="n">
        <v>9</v>
      </c>
    </row>
    <row r="142" customFormat="false" ht="15" hidden="false" customHeight="true" outlineLevel="0" collapsed="false">
      <c r="A142" s="15" t="n">
        <v>46163</v>
      </c>
      <c r="B142" s="16" t="n">
        <v>21</v>
      </c>
      <c r="C142" s="16" t="n">
        <v>6</v>
      </c>
    </row>
    <row r="143" customFormat="false" ht="15" hidden="false" customHeight="true" outlineLevel="0" collapsed="false">
      <c r="A143" s="15" t="n">
        <v>46164</v>
      </c>
      <c r="B143" s="16" t="n">
        <v>19</v>
      </c>
      <c r="C143" s="16" t="n">
        <v>8</v>
      </c>
    </row>
    <row r="144" customFormat="false" ht="15" hidden="false" customHeight="true" outlineLevel="0" collapsed="false">
      <c r="A144" s="15" t="n">
        <v>46165</v>
      </c>
      <c r="B144" s="16" t="n">
        <v>18</v>
      </c>
      <c r="C144" s="16" t="n">
        <v>10</v>
      </c>
    </row>
    <row r="145" customFormat="false" ht="15" hidden="false" customHeight="true" outlineLevel="0" collapsed="false">
      <c r="A145" s="15" t="n">
        <v>46166</v>
      </c>
      <c r="B145" s="16" t="n">
        <v>21</v>
      </c>
      <c r="C145" s="16" t="n">
        <v>16</v>
      </c>
    </row>
    <row r="146" customFormat="false" ht="15" hidden="false" customHeight="true" outlineLevel="0" collapsed="false">
      <c r="A146" s="15" t="n">
        <v>46167</v>
      </c>
      <c r="B146" s="16" t="n">
        <v>304</v>
      </c>
      <c r="C146" s="16" t="n">
        <v>182</v>
      </c>
    </row>
    <row r="147" customFormat="false" ht="15" hidden="false" customHeight="true" outlineLevel="0" collapsed="false">
      <c r="A147" s="15" t="n">
        <v>46168</v>
      </c>
      <c r="B147" s="16" t="n">
        <v>354</v>
      </c>
      <c r="C147" s="16" t="n">
        <v>280</v>
      </c>
    </row>
    <row r="148" customFormat="false" ht="15" hidden="false" customHeight="true" outlineLevel="0" collapsed="false">
      <c r="A148" s="15" t="n">
        <v>46169</v>
      </c>
      <c r="B148" s="16" t="n">
        <v>218</v>
      </c>
      <c r="C148" s="16" t="n">
        <v>185</v>
      </c>
    </row>
    <row r="149" customFormat="false" ht="15" hidden="false" customHeight="true" outlineLevel="0" collapsed="false">
      <c r="A149" s="15" t="n">
        <v>46170</v>
      </c>
      <c r="B149" s="16" t="n">
        <v>134</v>
      </c>
      <c r="C149" s="16" t="n">
        <v>89</v>
      </c>
    </row>
    <row r="150" customFormat="false" ht="15" hidden="false" customHeight="true" outlineLevel="0" collapsed="false">
      <c r="A150" s="15" t="n">
        <v>46171</v>
      </c>
      <c r="B150" s="16" t="n">
        <v>97</v>
      </c>
      <c r="C150" s="16" t="n">
        <v>64</v>
      </c>
    </row>
    <row r="151" customFormat="false" ht="15" hidden="false" customHeight="true" outlineLevel="0" collapsed="false">
      <c r="A151" s="15" t="n">
        <v>46172</v>
      </c>
      <c r="B151" s="16" t="n">
        <v>55</v>
      </c>
      <c r="C151" s="16" t="n">
        <v>37</v>
      </c>
    </row>
    <row r="152" customFormat="false" ht="15" hidden="false" customHeight="true" outlineLevel="0" collapsed="false">
      <c r="A152" s="15" t="n">
        <v>46173</v>
      </c>
      <c r="B152" s="16" t="n">
        <v>56</v>
      </c>
      <c r="C152" s="16" t="n">
        <v>38</v>
      </c>
    </row>
    <row r="153" customFormat="false" ht="15" hidden="false" customHeight="true" outlineLevel="0" collapsed="false">
      <c r="A153" s="15" t="n">
        <v>46174</v>
      </c>
      <c r="B153" s="16" t="n">
        <v>50</v>
      </c>
      <c r="C153" s="16" t="n">
        <v>32</v>
      </c>
    </row>
    <row r="154" customFormat="false" ht="15" hidden="false" customHeight="true" outlineLevel="0" collapsed="false">
      <c r="A154" s="15" t="n">
        <v>46175</v>
      </c>
      <c r="B154" s="16" t="n">
        <v>46</v>
      </c>
      <c r="C154" s="16" t="n">
        <v>32</v>
      </c>
    </row>
    <row r="155" customFormat="false" ht="15" hidden="false" customHeight="true" outlineLevel="0" collapsed="false">
      <c r="A155" s="15" t="n">
        <v>46176</v>
      </c>
      <c r="B155" s="16" t="n">
        <v>269</v>
      </c>
      <c r="C155" s="16" t="n">
        <v>221</v>
      </c>
    </row>
    <row r="156" customFormat="false" ht="15" hidden="false" customHeight="true" outlineLevel="0" collapsed="false">
      <c r="A156" s="15" t="n">
        <v>46177</v>
      </c>
      <c r="B156" s="16" t="n">
        <v>185</v>
      </c>
      <c r="C156" s="16" t="n">
        <v>160</v>
      </c>
    </row>
    <row r="157" customFormat="false" ht="15" hidden="false" customHeight="true" outlineLevel="0" collapsed="false">
      <c r="A157" s="15" t="n">
        <v>46178</v>
      </c>
      <c r="B157" s="16" t="n">
        <v>101</v>
      </c>
      <c r="C157" s="16" t="n">
        <v>62</v>
      </c>
    </row>
    <row r="158" customFormat="false" ht="15" hidden="false" customHeight="true" outlineLevel="0" collapsed="false">
      <c r="A158" s="15" t="n">
        <v>46179</v>
      </c>
      <c r="B158" s="16" t="n">
        <v>42</v>
      </c>
      <c r="C158" s="16" t="n">
        <v>25</v>
      </c>
    </row>
    <row r="159" customFormat="false" ht="15" hidden="false" customHeight="true" outlineLevel="0" collapsed="false">
      <c r="A159" s="15" t="n">
        <v>46180</v>
      </c>
      <c r="B159" s="16" t="n">
        <v>50</v>
      </c>
      <c r="C159" s="16" t="n">
        <v>37</v>
      </c>
    </row>
    <row r="160" customFormat="false" ht="15" hidden="false" customHeight="true" outlineLevel="0" collapsed="false">
      <c r="A160" s="15" t="n">
        <v>46181</v>
      </c>
      <c r="B160" s="16" t="n">
        <v>72</v>
      </c>
      <c r="C160" s="16" t="n">
        <v>34</v>
      </c>
    </row>
    <row r="161" customFormat="false" ht="15" hidden="false" customHeight="true" outlineLevel="0" collapsed="false">
      <c r="A161" s="15" t="n">
        <v>46182</v>
      </c>
      <c r="B161" s="16" t="n">
        <v>58</v>
      </c>
      <c r="C161" s="16" t="n">
        <v>36</v>
      </c>
    </row>
    <row r="162" customFormat="false" ht="15" hidden="false" customHeight="true" outlineLevel="0" collapsed="false">
      <c r="A162" s="15" t="n">
        <v>46183</v>
      </c>
      <c r="B162" s="16" t="n">
        <v>61</v>
      </c>
      <c r="C162" s="16" t="n">
        <v>25</v>
      </c>
    </row>
    <row r="163" customFormat="false" ht="15" hidden="false" customHeight="true" outlineLevel="0" collapsed="false">
      <c r="A163" s="15" t="n">
        <v>46184</v>
      </c>
      <c r="B163" s="16" t="n">
        <v>50</v>
      </c>
      <c r="C163" s="16" t="n">
        <v>22</v>
      </c>
    </row>
    <row r="164" customFormat="false" ht="15" hidden="false" customHeight="true" outlineLevel="0" collapsed="false">
      <c r="A164" s="15" t="n">
        <v>46185</v>
      </c>
      <c r="B164" s="16" t="n">
        <v>38</v>
      </c>
      <c r="C164" s="16" t="n">
        <v>21</v>
      </c>
    </row>
    <row r="165" customFormat="false" ht="15" hidden="false" customHeight="true" outlineLevel="0" collapsed="false">
      <c r="A165" s="15" t="n">
        <v>46186</v>
      </c>
      <c r="B165" s="16" t="n">
        <v>16</v>
      </c>
      <c r="C165" s="16" t="n">
        <v>10</v>
      </c>
    </row>
    <row r="166" customFormat="false" ht="15" hidden="false" customHeight="true" outlineLevel="0" collapsed="false">
      <c r="A166" s="15" t="n">
        <v>46187</v>
      </c>
      <c r="B166" s="16" t="n">
        <v>15</v>
      </c>
      <c r="C166" s="16" t="n">
        <v>9</v>
      </c>
    </row>
    <row r="167" customFormat="false" ht="15" hidden="false" customHeight="true" outlineLevel="0" collapsed="false">
      <c r="A167" s="15" t="n">
        <v>46188</v>
      </c>
      <c r="B167" s="16" t="n">
        <v>24</v>
      </c>
      <c r="C167" s="16" t="n">
        <v>15</v>
      </c>
    </row>
    <row r="168" customFormat="false" ht="15" hidden="false" customHeight="true" outlineLevel="0" collapsed="false">
      <c r="A168" s="15" t="n">
        <v>46189</v>
      </c>
      <c r="B168" s="16" t="n">
        <v>46</v>
      </c>
      <c r="C168" s="16" t="n">
        <v>25</v>
      </c>
    </row>
    <row r="169" customFormat="false" ht="15" hidden="false" customHeight="true" outlineLevel="0" collapsed="false">
      <c r="A169" s="15" t="n">
        <v>46190</v>
      </c>
      <c r="B169" s="16" t="n">
        <v>33</v>
      </c>
      <c r="C169" s="16" t="n">
        <v>15</v>
      </c>
    </row>
    <row r="170" customFormat="false" ht="15" hidden="false" customHeight="true" outlineLevel="0" collapsed="false">
      <c r="A170" s="15" t="n">
        <v>46191</v>
      </c>
      <c r="B170" s="16" t="n">
        <v>32</v>
      </c>
      <c r="C170" s="16" t="n">
        <v>14</v>
      </c>
    </row>
    <row r="171" customFormat="false" ht="15" hidden="false" customHeight="true" outlineLevel="0" collapsed="false">
      <c r="A171" s="15" t="n">
        <v>46192</v>
      </c>
      <c r="B171" s="16" t="n">
        <v>300</v>
      </c>
      <c r="C171" s="16" t="n">
        <v>264</v>
      </c>
    </row>
    <row r="172" customFormat="false" ht="15" hidden="false" customHeight="true" outlineLevel="0" collapsed="false">
      <c r="A172" s="15" t="n">
        <v>46193</v>
      </c>
      <c r="B172" s="16" t="n">
        <v>88</v>
      </c>
      <c r="C172" s="16" t="n">
        <v>74</v>
      </c>
    </row>
    <row r="173" customFormat="false" ht="15" hidden="false" customHeight="true" outlineLevel="0" collapsed="false">
      <c r="A173" s="15" t="n">
        <v>46194</v>
      </c>
      <c r="B173" s="16" t="n">
        <v>68</v>
      </c>
      <c r="C173" s="16" t="n">
        <v>53</v>
      </c>
    </row>
    <row r="174" customFormat="false" ht="15" hidden="false" customHeight="true" outlineLevel="0" collapsed="false">
      <c r="A174" s="15" t="n">
        <v>46195</v>
      </c>
      <c r="B174" s="16" t="n">
        <v>88</v>
      </c>
      <c r="C174" s="16" t="n">
        <v>64</v>
      </c>
    </row>
    <row r="175" customFormat="false" ht="15" hidden="false" customHeight="true" outlineLevel="0" collapsed="false">
      <c r="A175" s="15" t="n">
        <v>46196</v>
      </c>
      <c r="B175" s="16" t="n">
        <v>86</v>
      </c>
      <c r="C175" s="16" t="n">
        <v>53</v>
      </c>
    </row>
    <row r="176" customFormat="false" ht="15" hidden="false" customHeight="true" outlineLevel="0" collapsed="false">
      <c r="A176" s="15" t="n">
        <v>46197</v>
      </c>
      <c r="B176" s="16" t="n">
        <v>80</v>
      </c>
      <c r="C176" s="16" t="n">
        <v>49</v>
      </c>
    </row>
    <row r="177" customFormat="false" ht="15" hidden="false" customHeight="true" outlineLevel="0" collapsed="false">
      <c r="A177" s="15" t="n">
        <v>46198</v>
      </c>
      <c r="B177" s="16" t="n">
        <v>44</v>
      </c>
      <c r="C177" s="16" t="n">
        <v>31</v>
      </c>
    </row>
    <row r="178" customFormat="false" ht="15" hidden="false" customHeight="true" outlineLevel="0" collapsed="false">
      <c r="A178" s="15" t="n">
        <v>46199</v>
      </c>
      <c r="B178" s="16" t="n">
        <v>30</v>
      </c>
      <c r="C178" s="16" t="n">
        <v>19</v>
      </c>
    </row>
    <row r="179" customFormat="false" ht="15" hidden="false" customHeight="true" outlineLevel="0" collapsed="false">
      <c r="A179" s="15" t="n">
        <v>46200</v>
      </c>
      <c r="B179" s="16" t="n">
        <v>17</v>
      </c>
      <c r="C179" s="16" t="n">
        <v>10</v>
      </c>
    </row>
    <row r="180" customFormat="false" ht="15" hidden="false" customHeight="true" outlineLevel="0" collapsed="false">
      <c r="A180" s="15" t="n">
        <v>46201</v>
      </c>
      <c r="B180" s="16" t="n">
        <v>25</v>
      </c>
      <c r="C180" s="16" t="n">
        <v>22</v>
      </c>
    </row>
    <row r="181" customFormat="false" ht="15" hidden="false" customHeight="true" outlineLevel="0" collapsed="false">
      <c r="A181" s="15" t="n">
        <v>46202</v>
      </c>
      <c r="B181" s="16" t="n">
        <v>47</v>
      </c>
      <c r="C181" s="16" t="n">
        <v>25</v>
      </c>
    </row>
    <row r="182" customFormat="false" ht="15" hidden="false" customHeight="true" outlineLevel="0" collapsed="false">
      <c r="A182" s="15" t="n">
        <v>46203</v>
      </c>
      <c r="B182" s="16" t="n">
        <v>355</v>
      </c>
      <c r="C182" s="16" t="n">
        <v>290</v>
      </c>
    </row>
    <row r="183" customFormat="false" ht="15" hidden="false" customHeight="true" outlineLevel="0" collapsed="false">
      <c r="A183" s="15" t="n">
        <v>46204</v>
      </c>
      <c r="B183" s="16" t="n">
        <v>120</v>
      </c>
      <c r="C183" s="16" t="n">
        <v>84</v>
      </c>
    </row>
    <row r="184" customFormat="false" ht="15" hidden="false" customHeight="true" outlineLevel="0" collapsed="false">
      <c r="A184" s="15" t="n">
        <v>46205</v>
      </c>
      <c r="B184" s="16" t="n">
        <v>109</v>
      </c>
      <c r="C184" s="16" t="n">
        <v>60</v>
      </c>
    </row>
    <row r="185" customFormat="false" ht="15" hidden="false" customHeight="true" outlineLevel="0" collapsed="false">
      <c r="A185" s="15" t="n">
        <v>46206</v>
      </c>
      <c r="B185" s="16" t="n">
        <v>36</v>
      </c>
      <c r="C185" s="16" t="n">
        <v>25</v>
      </c>
    </row>
    <row r="186" customFormat="false" ht="15" hidden="false" customHeight="true" outlineLevel="0" collapsed="false">
      <c r="A186" s="15" t="n">
        <v>46207</v>
      </c>
      <c r="B186" s="16" t="n">
        <v>23</v>
      </c>
      <c r="C186" s="16" t="n">
        <v>18</v>
      </c>
    </row>
    <row r="187" customFormat="false" ht="15" hidden="false" customHeight="true" outlineLevel="0" collapsed="false">
      <c r="A187" s="15" t="n">
        <v>46208</v>
      </c>
      <c r="B187" s="16" t="n">
        <v>34</v>
      </c>
      <c r="C187" s="16" t="n">
        <v>28</v>
      </c>
    </row>
    <row r="188" customFormat="false" ht="15" hidden="false" customHeight="true" outlineLevel="0" collapsed="false">
      <c r="A188" s="15" t="n">
        <v>46209</v>
      </c>
      <c r="B188" s="16" t="n">
        <v>43</v>
      </c>
      <c r="C188" s="16" t="n">
        <v>30</v>
      </c>
    </row>
    <row r="189" customFormat="false" ht="15" hidden="false" customHeight="true" outlineLevel="0" collapsed="false">
      <c r="A189" s="15" t="n">
        <v>46210</v>
      </c>
      <c r="B189" s="16" t="n">
        <v>47</v>
      </c>
      <c r="C189" s="16" t="n">
        <v>25</v>
      </c>
    </row>
    <row r="190" customFormat="false" ht="15" hidden="false" customHeight="true" outlineLevel="0" collapsed="false">
      <c r="A190" s="15" t="n">
        <v>46211</v>
      </c>
      <c r="B190" s="16" t="n">
        <v>38</v>
      </c>
      <c r="C190" s="16" t="n">
        <v>21</v>
      </c>
    </row>
    <row r="191" customFormat="false" ht="15" hidden="false" customHeight="true" outlineLevel="0" collapsed="false">
      <c r="A191" s="15" t="n">
        <v>46212</v>
      </c>
      <c r="B191" s="16" t="n">
        <v>56</v>
      </c>
      <c r="C191" s="16" t="n">
        <v>31</v>
      </c>
    </row>
    <row r="192" customFormat="false" ht="15" hidden="false" customHeight="true" outlineLevel="0" collapsed="false">
      <c r="A192" s="15" t="n">
        <v>46213</v>
      </c>
      <c r="B192" s="16" t="n">
        <v>34</v>
      </c>
      <c r="C192" s="16" t="n">
        <v>20</v>
      </c>
    </row>
    <row r="193" customFormat="false" ht="15" hidden="false" customHeight="true" outlineLevel="0" collapsed="false">
      <c r="A193" s="15" t="n">
        <v>46214</v>
      </c>
      <c r="B193" s="16" t="n">
        <v>22</v>
      </c>
      <c r="C193" s="16" t="n">
        <v>16</v>
      </c>
    </row>
    <row r="194" customFormat="false" ht="15" hidden="false" customHeight="true" outlineLevel="0" collapsed="false">
      <c r="A194" s="15" t="n">
        <v>46215</v>
      </c>
      <c r="B194" s="16" t="n">
        <v>22</v>
      </c>
      <c r="C194" s="16" t="n">
        <v>15</v>
      </c>
    </row>
    <row r="195" customFormat="false" ht="15" hidden="false" customHeight="true" outlineLevel="0" collapsed="false">
      <c r="A195" s="15" t="n">
        <v>46216</v>
      </c>
      <c r="B195" s="16" t="n">
        <v>46</v>
      </c>
      <c r="C195" s="16" t="n">
        <v>24</v>
      </c>
    </row>
    <row r="196" customFormat="false" ht="15" hidden="false" customHeight="true" outlineLevel="0" collapsed="false">
      <c r="A196" s="15" t="n">
        <v>46217</v>
      </c>
      <c r="B196" s="16" t="n">
        <v>29</v>
      </c>
      <c r="C196" s="16" t="n">
        <v>21</v>
      </c>
    </row>
    <row r="197" customFormat="false" ht="15" hidden="false" customHeight="true" outlineLevel="0" collapsed="false">
      <c r="A197" s="15" t="n">
        <v>46218</v>
      </c>
      <c r="B197" s="16" t="n">
        <v>21</v>
      </c>
      <c r="C197" s="16" t="n">
        <v>20</v>
      </c>
    </row>
  </sheetData>
  <autoFilter ref="A1:C1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3" min="3" style="0" width="11"/>
  </cols>
  <sheetData>
    <row r="1" customFormat="false" ht="16.15" hidden="false" customHeight="false" outlineLevel="0" collapsed="false">
      <c r="A1" s="1" t="s">
        <v>42</v>
      </c>
    </row>
    <row r="2" customFormat="false" ht="27.75" hidden="false" customHeight="true" outlineLevel="0" collapsed="false">
      <c r="A2" s="2" t="s">
        <v>43</v>
      </c>
    </row>
    <row r="4" customFormat="false" ht="15" hidden="false" customHeight="false" outlineLevel="0" collapsed="false">
      <c r="A4" s="17" t="s">
        <v>44</v>
      </c>
      <c r="B4" s="17" t="s">
        <v>40</v>
      </c>
      <c r="C4" s="17" t="s">
        <v>45</v>
      </c>
    </row>
    <row r="5" customFormat="false" ht="15" hidden="false" customHeight="false" outlineLevel="0" collapsed="false">
      <c r="A5" s="18" t="s">
        <v>4</v>
      </c>
      <c r="B5" s="7" t="n">
        <v>6200</v>
      </c>
      <c r="C5" s="19" t="n">
        <v>0.64</v>
      </c>
    </row>
    <row r="6" customFormat="false" ht="15" hidden="false" customHeight="false" outlineLevel="0" collapsed="false">
      <c r="A6" s="18" t="s">
        <v>3</v>
      </c>
      <c r="B6" s="7" t="n">
        <v>1003</v>
      </c>
      <c r="C6" s="19" t="n">
        <v>0.1</v>
      </c>
    </row>
    <row r="7" customFormat="false" ht="15" hidden="false" customHeight="false" outlineLevel="0" collapsed="false">
      <c r="A7" s="18" t="s">
        <v>46</v>
      </c>
      <c r="B7" s="7" t="n">
        <v>656</v>
      </c>
      <c r="C7" s="19" t="n">
        <v>0.07</v>
      </c>
    </row>
    <row r="8" customFormat="false" ht="15" hidden="false" customHeight="false" outlineLevel="0" collapsed="false">
      <c r="A8" s="18" t="s">
        <v>47</v>
      </c>
      <c r="B8" s="7" t="n">
        <v>398</v>
      </c>
      <c r="C8" s="19" t="n">
        <v>0.04</v>
      </c>
    </row>
    <row r="9" customFormat="false" ht="15" hidden="false" customHeight="false" outlineLevel="0" collapsed="false">
      <c r="A9" s="18" t="s">
        <v>48</v>
      </c>
      <c r="B9" s="7" t="n">
        <v>330</v>
      </c>
      <c r="C9" s="19" t="n">
        <v>0.03</v>
      </c>
    </row>
    <row r="10" customFormat="false" ht="15" hidden="false" customHeight="false" outlineLevel="0" collapsed="false">
      <c r="A10" s="18" t="s">
        <v>49</v>
      </c>
      <c r="B10" s="7" t="n">
        <v>252</v>
      </c>
      <c r="C10" s="19" t="n">
        <v>0.03</v>
      </c>
    </row>
    <row r="11" customFormat="false" ht="15" hidden="false" customHeight="false" outlineLevel="0" collapsed="false">
      <c r="A11" s="18" t="s">
        <v>50</v>
      </c>
      <c r="B11" s="7" t="n">
        <v>247</v>
      </c>
      <c r="C11" s="19" t="n">
        <v>0.03</v>
      </c>
    </row>
    <row r="12" customFormat="false" ht="15" hidden="false" customHeight="false" outlineLevel="0" collapsed="false">
      <c r="A12" s="18" t="s">
        <v>51</v>
      </c>
      <c r="B12" s="7" t="n">
        <v>68</v>
      </c>
      <c r="C12" s="19" t="n">
        <v>0.01</v>
      </c>
    </row>
    <row r="13" customFormat="false" ht="15" hidden="false" customHeight="false" outlineLevel="0" collapsed="false">
      <c r="A13" s="18" t="s">
        <v>52</v>
      </c>
      <c r="B13" s="7" t="n">
        <v>57</v>
      </c>
      <c r="C13" s="19" t="n">
        <v>0.01</v>
      </c>
    </row>
    <row r="14" customFormat="false" ht="15" hidden="false" customHeight="false" outlineLevel="0" collapsed="false">
      <c r="A14" s="18" t="s">
        <v>53</v>
      </c>
      <c r="B14" s="7" t="n">
        <v>51</v>
      </c>
      <c r="C14" s="19" t="n">
        <v>0.01</v>
      </c>
    </row>
    <row r="15" customFormat="false" ht="15" hidden="false" customHeight="false" outlineLevel="0" collapsed="false">
      <c r="A15" s="18" t="s">
        <v>54</v>
      </c>
      <c r="B15" s="7" t="n">
        <v>51</v>
      </c>
      <c r="C15" s="19" t="n">
        <v>0.01</v>
      </c>
    </row>
    <row r="16" customFormat="false" ht="15" hidden="false" customHeight="false" outlineLevel="0" collapsed="false">
      <c r="A16" s="18" t="s">
        <v>55</v>
      </c>
      <c r="B16" s="7" t="n">
        <v>48</v>
      </c>
      <c r="C16" s="19" t="n">
        <v>0</v>
      </c>
    </row>
    <row r="17" customFormat="false" ht="15" hidden="false" customHeight="false" outlineLevel="0" collapsed="false">
      <c r="A17" s="18" t="s">
        <v>56</v>
      </c>
      <c r="B17" s="7" t="n">
        <v>45</v>
      </c>
      <c r="C17" s="19" t="n">
        <v>0</v>
      </c>
    </row>
    <row r="18" customFormat="false" ht="15" hidden="false" customHeight="false" outlineLevel="0" collapsed="false">
      <c r="A18" s="18" t="s">
        <v>57</v>
      </c>
      <c r="B18" s="7" t="n">
        <v>42</v>
      </c>
      <c r="C18" s="19" t="n">
        <v>0</v>
      </c>
    </row>
    <row r="19" customFormat="false" ht="15" hidden="false" customHeight="false" outlineLevel="0" collapsed="false">
      <c r="A19" s="18" t="s">
        <v>58</v>
      </c>
      <c r="B19" s="7" t="n">
        <v>22</v>
      </c>
      <c r="C19" s="19" t="n">
        <v>0</v>
      </c>
    </row>
    <row r="20" customFormat="false" ht="15" hidden="false" customHeight="false" outlineLevel="0" collapsed="false">
      <c r="A20" s="18" t="s">
        <v>59</v>
      </c>
      <c r="B20" s="7" t="n">
        <v>22</v>
      </c>
      <c r="C20" s="19" t="n">
        <v>0</v>
      </c>
    </row>
    <row r="21" customFormat="false" ht="15" hidden="false" customHeight="false" outlineLevel="0" collapsed="false">
      <c r="A21" s="18" t="s">
        <v>60</v>
      </c>
      <c r="B21" s="7" t="n">
        <v>22</v>
      </c>
      <c r="C21" s="19" t="n">
        <v>0</v>
      </c>
    </row>
    <row r="22" customFormat="false" ht="15" hidden="false" customHeight="false" outlineLevel="0" collapsed="false">
      <c r="A22" s="18" t="s">
        <v>61</v>
      </c>
      <c r="B22" s="7" t="n">
        <v>19</v>
      </c>
      <c r="C22" s="19" t="n">
        <v>0</v>
      </c>
    </row>
    <row r="23" customFormat="false" ht="15" hidden="false" customHeight="false" outlineLevel="0" collapsed="false">
      <c r="A23" s="18" t="s">
        <v>62</v>
      </c>
      <c r="B23" s="7" t="n">
        <v>18</v>
      </c>
      <c r="C23" s="19" t="n">
        <v>0</v>
      </c>
    </row>
    <row r="24" customFormat="false" ht="15" hidden="false" customHeight="false" outlineLevel="0" collapsed="false">
      <c r="A24" s="18" t="s">
        <v>63</v>
      </c>
      <c r="B24" s="7" t="n">
        <v>18</v>
      </c>
      <c r="C24" s="19" t="n">
        <v>0</v>
      </c>
    </row>
    <row r="25" customFormat="false" ht="15" hidden="false" customHeight="false" outlineLevel="0" collapsed="false">
      <c r="A25" s="18" t="s">
        <v>64</v>
      </c>
      <c r="B25" s="7" t="n">
        <v>16</v>
      </c>
      <c r="C25" s="19" t="n">
        <v>0</v>
      </c>
    </row>
    <row r="26" customFormat="false" ht="15" hidden="false" customHeight="false" outlineLevel="0" collapsed="false">
      <c r="A26" s="18" t="s">
        <v>65</v>
      </c>
      <c r="B26" s="7" t="n">
        <v>14</v>
      </c>
      <c r="C26" s="19" t="n">
        <v>0</v>
      </c>
    </row>
    <row r="27" customFormat="false" ht="15" hidden="false" customHeight="false" outlineLevel="0" collapsed="false">
      <c r="A27" s="18" t="s">
        <v>66</v>
      </c>
      <c r="B27" s="7" t="n">
        <v>11</v>
      </c>
      <c r="C27" s="19" t="n">
        <v>0</v>
      </c>
    </row>
    <row r="28" customFormat="false" ht="15" hidden="false" customHeight="false" outlineLevel="0" collapsed="false">
      <c r="A28" s="18" t="s">
        <v>67</v>
      </c>
      <c r="B28" s="7" t="n">
        <v>7</v>
      </c>
      <c r="C28" s="19" t="n">
        <v>0</v>
      </c>
    </row>
    <row r="29" customFormat="false" ht="15" hidden="false" customHeight="false" outlineLevel="0" collapsed="false">
      <c r="A29" s="18" t="s">
        <v>68</v>
      </c>
      <c r="B29" s="7" t="n">
        <v>5</v>
      </c>
      <c r="C29" s="19" t="n">
        <v>0</v>
      </c>
    </row>
    <row r="30" customFormat="false" ht="15" hidden="false" customHeight="false" outlineLevel="0" collapsed="false">
      <c r="A30" s="18" t="s">
        <v>69</v>
      </c>
      <c r="B30" s="7" t="n">
        <v>4</v>
      </c>
      <c r="C30" s="19" t="n">
        <v>0</v>
      </c>
    </row>
    <row r="31" customFormat="false" ht="15" hidden="false" customHeight="false" outlineLevel="0" collapsed="false">
      <c r="A31" s="18" t="s">
        <v>70</v>
      </c>
      <c r="B31" s="7" t="n">
        <v>4</v>
      </c>
      <c r="C31" s="19" t="n">
        <v>0</v>
      </c>
    </row>
    <row r="32" customFormat="false" ht="15" hidden="false" customHeight="false" outlineLevel="0" collapsed="false">
      <c r="A32" s="18" t="s">
        <v>71</v>
      </c>
      <c r="B32" s="7" t="n">
        <v>1</v>
      </c>
      <c r="C32" s="19" t="n">
        <v>0</v>
      </c>
    </row>
    <row r="33" customFormat="false" ht="15" hidden="false" customHeight="false" outlineLevel="0" collapsed="false">
      <c r="A33" s="18" t="s">
        <v>72</v>
      </c>
      <c r="B33" s="7" t="n">
        <v>1</v>
      </c>
      <c r="C33" s="19" t="n">
        <v>0</v>
      </c>
    </row>
    <row r="34" customFormat="false" ht="15" hidden="false" customHeight="false" outlineLevel="0" collapsed="false">
      <c r="A34" s="18" t="s">
        <v>73</v>
      </c>
      <c r="B34" s="7" t="n">
        <v>0</v>
      </c>
      <c r="C34" s="19" t="n">
        <v>0</v>
      </c>
    </row>
    <row r="35" customFormat="false" ht="15" hidden="false" customHeight="false" outlineLevel="0" collapsed="false">
      <c r="A35" s="20" t="s">
        <v>74</v>
      </c>
      <c r="B35" s="21" t="n">
        <f aca="false">SUM(B5:B34)</f>
        <v>9632</v>
      </c>
      <c r="C35" s="22" t="n">
        <v>1</v>
      </c>
    </row>
    <row r="37" customFormat="false" ht="15" hidden="false" customHeight="false" outlineLevel="0" collapsed="false">
      <c r="A37" s="11" t="s">
        <v>75</v>
      </c>
    </row>
    <row r="38" customFormat="false" ht="15" hidden="false" customHeight="false" outlineLevel="0" collapsed="false">
      <c r="A38" s="23" t="s">
        <v>4</v>
      </c>
      <c r="B38" s="24" t="n">
        <f aca="false">B5</f>
        <v>6200</v>
      </c>
    </row>
    <row r="39" customFormat="false" ht="15" hidden="false" customHeight="false" outlineLevel="0" collapsed="false">
      <c r="A39" s="23" t="s">
        <v>3</v>
      </c>
      <c r="B39" s="24" t="n">
        <f aca="false">B6</f>
        <v>1003</v>
      </c>
    </row>
    <row r="40" customFormat="false" ht="15" hidden="false" customHeight="false" outlineLevel="0" collapsed="false">
      <c r="A40" s="23" t="s">
        <v>76</v>
      </c>
      <c r="B40" s="24" t="n">
        <f aca="false">B35-B5-B6</f>
        <v>2429</v>
      </c>
    </row>
    <row r="41" customFormat="false" ht="15" hidden="false" customHeight="false" outlineLevel="0" collapsed="false">
      <c r="A41" s="25" t="s">
        <v>77</v>
      </c>
    </row>
  </sheetData>
  <autoFilter ref="A4:C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14"/>
    <col collapsed="false" customWidth="true" hidden="false" outlineLevel="0" max="2" min="2" style="14" width="12"/>
  </cols>
  <sheetData>
    <row r="1" customFormat="false" ht="15" hidden="false" customHeight="true" outlineLevel="0" collapsed="false">
      <c r="A1" s="3" t="s">
        <v>39</v>
      </c>
      <c r="B1" s="3" t="s">
        <v>78</v>
      </c>
    </row>
    <row r="2" customFormat="false" ht="15" hidden="false" customHeight="true" outlineLevel="0" collapsed="false">
      <c r="A2" s="15" t="n">
        <v>46075</v>
      </c>
      <c r="B2" s="16" t="n">
        <v>4</v>
      </c>
    </row>
    <row r="3" customFormat="false" ht="15" hidden="false" customHeight="true" outlineLevel="0" collapsed="false">
      <c r="A3" s="15" t="n">
        <v>46076</v>
      </c>
      <c r="B3" s="16" t="n">
        <v>34</v>
      </c>
    </row>
    <row r="4" customFormat="false" ht="15" hidden="false" customHeight="true" outlineLevel="0" collapsed="false">
      <c r="A4" s="15" t="n">
        <v>46077</v>
      </c>
      <c r="B4" s="16" t="n">
        <v>39</v>
      </c>
    </row>
    <row r="5" customFormat="false" ht="15" hidden="false" customHeight="true" outlineLevel="0" collapsed="false">
      <c r="A5" s="15" t="n">
        <v>46078</v>
      </c>
      <c r="B5" s="16" t="n">
        <v>56</v>
      </c>
    </row>
    <row r="6" customFormat="false" ht="15" hidden="false" customHeight="true" outlineLevel="0" collapsed="false">
      <c r="A6" s="15" t="n">
        <v>46079</v>
      </c>
      <c r="B6" s="16" t="n">
        <v>36</v>
      </c>
    </row>
    <row r="7" customFormat="false" ht="15" hidden="false" customHeight="true" outlineLevel="0" collapsed="false">
      <c r="A7" s="15" t="n">
        <v>46080</v>
      </c>
      <c r="B7" s="16" t="n">
        <v>44</v>
      </c>
    </row>
    <row r="8" customFormat="false" ht="15" hidden="false" customHeight="true" outlineLevel="0" collapsed="false">
      <c r="A8" s="15" t="n">
        <v>46081</v>
      </c>
      <c r="B8" s="16" t="n">
        <v>15</v>
      </c>
    </row>
    <row r="9" customFormat="false" ht="15" hidden="false" customHeight="true" outlineLevel="0" collapsed="false">
      <c r="A9" s="15" t="n">
        <v>46082</v>
      </c>
      <c r="B9" s="16" t="n">
        <v>10</v>
      </c>
    </row>
    <row r="10" customFormat="false" ht="15" hidden="false" customHeight="true" outlineLevel="0" collapsed="false">
      <c r="A10" s="15" t="n">
        <v>46083</v>
      </c>
      <c r="B10" s="16" t="n">
        <v>37</v>
      </c>
    </row>
    <row r="11" customFormat="false" ht="15" hidden="false" customHeight="true" outlineLevel="0" collapsed="false">
      <c r="A11" s="15" t="n">
        <v>46084</v>
      </c>
      <c r="B11" s="16" t="n">
        <v>35</v>
      </c>
    </row>
    <row r="12" customFormat="false" ht="15" hidden="false" customHeight="true" outlineLevel="0" collapsed="false">
      <c r="A12" s="15" t="n">
        <v>46085</v>
      </c>
      <c r="B12" s="16" t="n">
        <v>28</v>
      </c>
    </row>
    <row r="13" customFormat="false" ht="15" hidden="false" customHeight="true" outlineLevel="0" collapsed="false">
      <c r="A13" s="15" t="n">
        <v>46086</v>
      </c>
      <c r="B13" s="16" t="n">
        <v>39</v>
      </c>
    </row>
    <row r="14" customFormat="false" ht="15" hidden="false" customHeight="true" outlineLevel="0" collapsed="false">
      <c r="A14" s="15" t="n">
        <v>46087</v>
      </c>
      <c r="B14" s="16" t="n">
        <v>30</v>
      </c>
    </row>
    <row r="15" customFormat="false" ht="15" hidden="false" customHeight="true" outlineLevel="0" collapsed="false">
      <c r="A15" s="15" t="n">
        <v>46088</v>
      </c>
      <c r="B15" s="16" t="n">
        <v>22</v>
      </c>
    </row>
    <row r="16" customFormat="false" ht="15" hidden="false" customHeight="true" outlineLevel="0" collapsed="false">
      <c r="A16" s="15" t="n">
        <v>46089</v>
      </c>
      <c r="B16" s="16" t="n">
        <v>8</v>
      </c>
    </row>
    <row r="17" customFormat="false" ht="15" hidden="false" customHeight="true" outlineLevel="0" collapsed="false">
      <c r="A17" s="15" t="n">
        <v>46090</v>
      </c>
      <c r="B17" s="16" t="n">
        <v>18</v>
      </c>
    </row>
    <row r="18" customFormat="false" ht="15" hidden="false" customHeight="true" outlineLevel="0" collapsed="false">
      <c r="A18" s="15" t="n">
        <v>46091</v>
      </c>
      <c r="B18" s="16" t="n">
        <v>28</v>
      </c>
    </row>
    <row r="19" customFormat="false" ht="15" hidden="false" customHeight="true" outlineLevel="0" collapsed="false">
      <c r="A19" s="15" t="n">
        <v>46092</v>
      </c>
      <c r="B19" s="16" t="n">
        <v>33</v>
      </c>
    </row>
    <row r="20" customFormat="false" ht="15" hidden="false" customHeight="true" outlineLevel="0" collapsed="false">
      <c r="A20" s="15" t="n">
        <v>46093</v>
      </c>
      <c r="B20" s="16" t="n">
        <v>17</v>
      </c>
    </row>
    <row r="21" customFormat="false" ht="15" hidden="false" customHeight="true" outlineLevel="0" collapsed="false">
      <c r="A21" s="15" t="n">
        <v>46094</v>
      </c>
      <c r="B21" s="16" t="n">
        <v>28</v>
      </c>
    </row>
    <row r="22" customFormat="false" ht="15" hidden="false" customHeight="true" outlineLevel="0" collapsed="false">
      <c r="A22" s="15" t="n">
        <v>46095</v>
      </c>
      <c r="B22" s="16" t="n">
        <v>18</v>
      </c>
    </row>
    <row r="23" customFormat="false" ht="15" hidden="false" customHeight="true" outlineLevel="0" collapsed="false">
      <c r="A23" s="15" t="n">
        <v>46096</v>
      </c>
      <c r="B23" s="16" t="n">
        <v>9</v>
      </c>
    </row>
    <row r="24" customFormat="false" ht="15" hidden="false" customHeight="true" outlineLevel="0" collapsed="false">
      <c r="A24" s="15" t="n">
        <v>46097</v>
      </c>
      <c r="B24" s="16" t="n">
        <v>5</v>
      </c>
    </row>
    <row r="25" customFormat="false" ht="15" hidden="false" customHeight="true" outlineLevel="0" collapsed="false">
      <c r="A25" s="15" t="n">
        <v>46098</v>
      </c>
      <c r="B25" s="16" t="n">
        <v>25</v>
      </c>
    </row>
    <row r="26" customFormat="false" ht="15" hidden="false" customHeight="true" outlineLevel="0" collapsed="false">
      <c r="A26" s="15" t="n">
        <v>46099</v>
      </c>
      <c r="B26" s="16" t="n">
        <v>10</v>
      </c>
    </row>
    <row r="27" customFormat="false" ht="15" hidden="false" customHeight="true" outlineLevel="0" collapsed="false">
      <c r="A27" s="15" t="n">
        <v>46100</v>
      </c>
      <c r="B27" s="16" t="n">
        <v>17</v>
      </c>
    </row>
    <row r="28" customFormat="false" ht="15" hidden="false" customHeight="true" outlineLevel="0" collapsed="false">
      <c r="A28" s="15" t="n">
        <v>46101</v>
      </c>
      <c r="B28" s="16" t="n">
        <v>10</v>
      </c>
    </row>
    <row r="29" customFormat="false" ht="15" hidden="false" customHeight="true" outlineLevel="0" collapsed="false">
      <c r="A29" s="15" t="n">
        <v>46102</v>
      </c>
      <c r="B29" s="16" t="n">
        <v>16</v>
      </c>
    </row>
    <row r="30" customFormat="false" ht="15" hidden="false" customHeight="true" outlineLevel="0" collapsed="false">
      <c r="A30" s="15" t="n">
        <v>46103</v>
      </c>
      <c r="B30" s="16" t="n">
        <v>25</v>
      </c>
    </row>
    <row r="31" customFormat="false" ht="15" hidden="false" customHeight="true" outlineLevel="0" collapsed="false">
      <c r="A31" s="15" t="n">
        <v>46104</v>
      </c>
      <c r="B31" s="16" t="n">
        <v>13</v>
      </c>
    </row>
    <row r="32" customFormat="false" ht="15" hidden="false" customHeight="true" outlineLevel="0" collapsed="false">
      <c r="A32" s="15" t="n">
        <v>46105</v>
      </c>
      <c r="B32" s="16" t="n">
        <v>9</v>
      </c>
    </row>
    <row r="33" customFormat="false" ht="15" hidden="false" customHeight="true" outlineLevel="0" collapsed="false">
      <c r="A33" s="15" t="n">
        <v>46106</v>
      </c>
      <c r="B33" s="16" t="n">
        <v>14</v>
      </c>
    </row>
    <row r="34" customFormat="false" ht="15" hidden="false" customHeight="true" outlineLevel="0" collapsed="false">
      <c r="A34" s="15" t="n">
        <v>46107</v>
      </c>
      <c r="B34" s="16" t="n">
        <v>20</v>
      </c>
    </row>
    <row r="35" customFormat="false" ht="15" hidden="false" customHeight="true" outlineLevel="0" collapsed="false">
      <c r="A35" s="15" t="n">
        <v>46108</v>
      </c>
      <c r="B35" s="16" t="n">
        <v>10</v>
      </c>
    </row>
    <row r="36" customFormat="false" ht="15" hidden="false" customHeight="true" outlineLevel="0" collapsed="false">
      <c r="A36" s="15" t="n">
        <v>46109</v>
      </c>
      <c r="B36" s="16" t="n">
        <v>6</v>
      </c>
    </row>
    <row r="37" customFormat="false" ht="15" hidden="false" customHeight="true" outlineLevel="0" collapsed="false">
      <c r="A37" s="15" t="n">
        <v>46110</v>
      </c>
      <c r="B37" s="16" t="n">
        <v>2</v>
      </c>
    </row>
    <row r="38" customFormat="false" ht="15" hidden="false" customHeight="true" outlineLevel="0" collapsed="false">
      <c r="A38" s="15" t="n">
        <v>46111</v>
      </c>
      <c r="B38" s="16" t="n">
        <v>6</v>
      </c>
    </row>
    <row r="39" customFormat="false" ht="15" hidden="false" customHeight="true" outlineLevel="0" collapsed="false">
      <c r="A39" s="15" t="n">
        <v>46112</v>
      </c>
      <c r="B39" s="16" t="n">
        <v>9</v>
      </c>
    </row>
    <row r="40" customFormat="false" ht="15" hidden="false" customHeight="true" outlineLevel="0" collapsed="false">
      <c r="A40" s="15" t="n">
        <v>46113</v>
      </c>
      <c r="B40" s="16" t="n">
        <v>8</v>
      </c>
    </row>
    <row r="41" customFormat="false" ht="15" hidden="false" customHeight="true" outlineLevel="0" collapsed="false">
      <c r="A41" s="15" t="n">
        <v>46114</v>
      </c>
      <c r="B41" s="16" t="n">
        <v>3</v>
      </c>
    </row>
    <row r="42" customFormat="false" ht="15" hidden="false" customHeight="true" outlineLevel="0" collapsed="false">
      <c r="A42" s="15" t="n">
        <v>46115</v>
      </c>
      <c r="B42" s="16" t="n">
        <v>3</v>
      </c>
    </row>
    <row r="43" customFormat="false" ht="15" hidden="false" customHeight="true" outlineLevel="0" collapsed="false">
      <c r="A43" s="15" t="n">
        <v>46116</v>
      </c>
      <c r="B43" s="16" t="n">
        <v>3</v>
      </c>
    </row>
    <row r="44" customFormat="false" ht="15" hidden="false" customHeight="true" outlineLevel="0" collapsed="false">
      <c r="A44" s="15" t="n">
        <v>46117</v>
      </c>
      <c r="B44" s="16" t="n">
        <v>6</v>
      </c>
    </row>
    <row r="45" customFormat="false" ht="15" hidden="false" customHeight="true" outlineLevel="0" collapsed="false">
      <c r="A45" s="15" t="n">
        <v>46118</v>
      </c>
      <c r="B45" s="16" t="n">
        <v>13</v>
      </c>
    </row>
    <row r="46" customFormat="false" ht="15" hidden="false" customHeight="true" outlineLevel="0" collapsed="false">
      <c r="A46" s="15" t="n">
        <v>46119</v>
      </c>
      <c r="B46" s="16" t="n">
        <v>4</v>
      </c>
    </row>
    <row r="47" customFormat="false" ht="15" hidden="false" customHeight="true" outlineLevel="0" collapsed="false">
      <c r="A47" s="15" t="n">
        <v>46120</v>
      </c>
      <c r="B47" s="16" t="n">
        <v>11</v>
      </c>
    </row>
    <row r="48" customFormat="false" ht="15" hidden="false" customHeight="true" outlineLevel="0" collapsed="false">
      <c r="A48" s="15" t="n">
        <v>46121</v>
      </c>
      <c r="B48" s="16" t="n">
        <v>4</v>
      </c>
    </row>
    <row r="49" customFormat="false" ht="15" hidden="false" customHeight="true" outlineLevel="0" collapsed="false">
      <c r="A49" s="15" t="n">
        <v>46122</v>
      </c>
      <c r="B49" s="16" t="n">
        <v>5</v>
      </c>
    </row>
    <row r="50" customFormat="false" ht="15" hidden="false" customHeight="true" outlineLevel="0" collapsed="false">
      <c r="A50" s="15" t="n">
        <v>46123</v>
      </c>
      <c r="B50" s="16" t="n">
        <v>6</v>
      </c>
    </row>
    <row r="51" customFormat="false" ht="15" hidden="false" customHeight="true" outlineLevel="0" collapsed="false">
      <c r="A51" s="15" t="n">
        <v>46124</v>
      </c>
      <c r="B51" s="16" t="n">
        <v>5</v>
      </c>
    </row>
    <row r="52" customFormat="false" ht="15" hidden="false" customHeight="true" outlineLevel="0" collapsed="false">
      <c r="A52" s="15" t="n">
        <v>46125</v>
      </c>
      <c r="B52" s="16" t="n">
        <v>5</v>
      </c>
    </row>
    <row r="53" customFormat="false" ht="15" hidden="false" customHeight="true" outlineLevel="0" collapsed="false">
      <c r="A53" s="15" t="n">
        <v>46126</v>
      </c>
      <c r="B53" s="16" t="n">
        <v>13</v>
      </c>
    </row>
    <row r="54" customFormat="false" ht="15" hidden="false" customHeight="true" outlineLevel="0" collapsed="false">
      <c r="A54" s="15" t="n">
        <v>46127</v>
      </c>
      <c r="B54" s="16" t="n">
        <v>6</v>
      </c>
    </row>
    <row r="55" customFormat="false" ht="15" hidden="false" customHeight="true" outlineLevel="0" collapsed="false">
      <c r="A55" s="15" t="n">
        <v>46128</v>
      </c>
      <c r="B55" s="16" t="n">
        <v>8</v>
      </c>
    </row>
    <row r="56" customFormat="false" ht="15" hidden="false" customHeight="true" outlineLevel="0" collapsed="false">
      <c r="A56" s="15" t="n">
        <v>46129</v>
      </c>
      <c r="B56" s="16" t="n">
        <v>4</v>
      </c>
    </row>
    <row r="57" customFormat="false" ht="15" hidden="false" customHeight="true" outlineLevel="0" collapsed="false">
      <c r="A57" s="15" t="n">
        <v>46130</v>
      </c>
      <c r="B57" s="16" t="n">
        <v>1</v>
      </c>
    </row>
    <row r="58" customFormat="false" ht="15" hidden="false" customHeight="true" outlineLevel="0" collapsed="false">
      <c r="A58" s="15" t="n">
        <v>46131</v>
      </c>
      <c r="B58" s="16" t="n">
        <v>4</v>
      </c>
    </row>
    <row r="59" customFormat="false" ht="15" hidden="false" customHeight="true" outlineLevel="0" collapsed="false">
      <c r="A59" s="15" t="n">
        <v>46132</v>
      </c>
      <c r="B59" s="16" t="n">
        <v>0</v>
      </c>
    </row>
    <row r="60" customFormat="false" ht="15" hidden="false" customHeight="true" outlineLevel="0" collapsed="false">
      <c r="A60" s="15" t="n">
        <v>46133</v>
      </c>
      <c r="B60" s="16" t="n">
        <v>8</v>
      </c>
    </row>
    <row r="61" customFormat="false" ht="15" hidden="false" customHeight="true" outlineLevel="0" collapsed="false">
      <c r="A61" s="15" t="n">
        <v>46134</v>
      </c>
      <c r="B61" s="16" t="n">
        <v>5</v>
      </c>
    </row>
    <row r="62" customFormat="false" ht="15" hidden="false" customHeight="true" outlineLevel="0" collapsed="false">
      <c r="A62" s="15" t="n">
        <v>46135</v>
      </c>
      <c r="B62" s="16" t="n">
        <v>8</v>
      </c>
    </row>
    <row r="63" customFormat="false" ht="15" hidden="false" customHeight="true" outlineLevel="0" collapsed="false">
      <c r="A63" s="15" t="n">
        <v>46136</v>
      </c>
      <c r="B63" s="16" t="n">
        <v>5</v>
      </c>
    </row>
    <row r="64" customFormat="false" ht="15" hidden="false" customHeight="true" outlineLevel="0" collapsed="false">
      <c r="A64" s="15" t="n">
        <v>46137</v>
      </c>
      <c r="B64" s="16" t="n">
        <v>5</v>
      </c>
    </row>
    <row r="65" customFormat="false" ht="15" hidden="false" customHeight="true" outlineLevel="0" collapsed="false">
      <c r="A65" s="15" t="n">
        <v>46138</v>
      </c>
      <c r="B65" s="16" t="n">
        <v>1</v>
      </c>
    </row>
    <row r="66" customFormat="false" ht="15" hidden="false" customHeight="true" outlineLevel="0" collapsed="false">
      <c r="A66" s="15" t="n">
        <v>46139</v>
      </c>
      <c r="B66" s="16" t="n">
        <v>4</v>
      </c>
    </row>
    <row r="67" customFormat="false" ht="15" hidden="false" customHeight="true" outlineLevel="0" collapsed="false">
      <c r="A67" s="15" t="n">
        <v>46140</v>
      </c>
      <c r="B67" s="16" t="n">
        <v>3</v>
      </c>
    </row>
    <row r="68" customFormat="false" ht="15" hidden="false" customHeight="true" outlineLevel="0" collapsed="false">
      <c r="A68" s="15" t="n">
        <v>46141</v>
      </c>
      <c r="B68" s="16" t="n">
        <v>3</v>
      </c>
    </row>
    <row r="69" customFormat="false" ht="15" hidden="false" customHeight="true" outlineLevel="0" collapsed="false">
      <c r="A69" s="15" t="n">
        <v>46142</v>
      </c>
      <c r="B69" s="16" t="n">
        <v>2</v>
      </c>
    </row>
    <row r="70" customFormat="false" ht="15" hidden="false" customHeight="true" outlineLevel="0" collapsed="false">
      <c r="A70" s="15" t="n">
        <v>46143</v>
      </c>
      <c r="B70" s="16" t="n">
        <v>3</v>
      </c>
    </row>
    <row r="71" customFormat="false" ht="15" hidden="false" customHeight="true" outlineLevel="0" collapsed="false">
      <c r="A71" s="15" t="n">
        <v>46144</v>
      </c>
      <c r="B71" s="16" t="n">
        <v>1</v>
      </c>
    </row>
    <row r="72" customFormat="false" ht="15" hidden="false" customHeight="true" outlineLevel="0" collapsed="false">
      <c r="A72" s="15" t="n">
        <v>46145</v>
      </c>
      <c r="B72" s="16" t="n">
        <v>1</v>
      </c>
    </row>
    <row r="73" customFormat="false" ht="15" hidden="false" customHeight="true" outlineLevel="0" collapsed="false">
      <c r="A73" s="15" t="n">
        <v>46146</v>
      </c>
      <c r="B73" s="16" t="n">
        <v>4</v>
      </c>
    </row>
    <row r="74" customFormat="false" ht="15" hidden="false" customHeight="true" outlineLevel="0" collapsed="false">
      <c r="A74" s="15" t="n">
        <v>46147</v>
      </c>
      <c r="B74" s="16" t="n">
        <v>11</v>
      </c>
    </row>
    <row r="75" customFormat="false" ht="15" hidden="false" customHeight="true" outlineLevel="0" collapsed="false">
      <c r="A75" s="15" t="n">
        <v>46148</v>
      </c>
      <c r="B75" s="16" t="n">
        <v>7</v>
      </c>
    </row>
    <row r="76" customFormat="false" ht="15" hidden="false" customHeight="true" outlineLevel="0" collapsed="false">
      <c r="A76" s="15" t="n">
        <v>46149</v>
      </c>
      <c r="B76" s="16" t="n">
        <v>3</v>
      </c>
    </row>
    <row r="77" customFormat="false" ht="15" hidden="false" customHeight="true" outlineLevel="0" collapsed="false">
      <c r="A77" s="15" t="n">
        <v>46150</v>
      </c>
      <c r="B77" s="16" t="n">
        <v>0</v>
      </c>
    </row>
    <row r="78" customFormat="false" ht="15" hidden="false" customHeight="true" outlineLevel="0" collapsed="false">
      <c r="A78" s="15" t="n">
        <v>46151</v>
      </c>
      <c r="B78" s="16" t="n">
        <v>3</v>
      </c>
    </row>
    <row r="79" customFormat="false" ht="15" hidden="false" customHeight="true" outlineLevel="0" collapsed="false">
      <c r="A79" s="15" t="n">
        <v>46152</v>
      </c>
      <c r="B79" s="16" t="n">
        <v>2</v>
      </c>
    </row>
    <row r="80" customFormat="false" ht="15" hidden="false" customHeight="true" outlineLevel="0" collapsed="false">
      <c r="A80" s="15" t="n">
        <v>46153</v>
      </c>
      <c r="B80" s="16" t="n">
        <v>1</v>
      </c>
    </row>
    <row r="81" customFormat="false" ht="15" hidden="false" customHeight="true" outlineLevel="0" collapsed="false">
      <c r="A81" s="15" t="n">
        <v>46154</v>
      </c>
      <c r="B81" s="16" t="n">
        <v>0</v>
      </c>
    </row>
    <row r="82" customFormat="false" ht="15" hidden="false" customHeight="true" outlineLevel="0" collapsed="false">
      <c r="A82" s="15" t="n">
        <v>46155</v>
      </c>
      <c r="B82" s="16" t="n">
        <v>0</v>
      </c>
    </row>
    <row r="83" customFormat="false" ht="15" hidden="false" customHeight="true" outlineLevel="0" collapsed="false">
      <c r="A83" s="15" t="n">
        <v>46156</v>
      </c>
      <c r="B83" s="16" t="n">
        <v>1</v>
      </c>
    </row>
    <row r="84" customFormat="false" ht="15" hidden="false" customHeight="true" outlineLevel="0" collapsed="false">
      <c r="A84" s="15" t="n">
        <v>46157</v>
      </c>
      <c r="B84" s="16" t="n">
        <v>0</v>
      </c>
    </row>
    <row r="85" customFormat="false" ht="15" hidden="false" customHeight="true" outlineLevel="0" collapsed="false">
      <c r="A85" s="15" t="n">
        <v>46158</v>
      </c>
      <c r="B85" s="16" t="n">
        <v>3</v>
      </c>
    </row>
    <row r="86" customFormat="false" ht="15" hidden="false" customHeight="true" outlineLevel="0" collapsed="false">
      <c r="A86" s="15" t="n">
        <v>46159</v>
      </c>
      <c r="B86" s="16" t="n">
        <v>1</v>
      </c>
    </row>
    <row r="87" customFormat="false" ht="15" hidden="false" customHeight="true" outlineLevel="0" collapsed="false">
      <c r="A87" s="15" t="n">
        <v>46160</v>
      </c>
      <c r="B87" s="16" t="n">
        <v>0</v>
      </c>
    </row>
    <row r="88" customFormat="false" ht="15" hidden="false" customHeight="true" outlineLevel="0" collapsed="false">
      <c r="A88" s="15" t="n">
        <v>46161</v>
      </c>
      <c r="B88" s="16" t="n">
        <v>2</v>
      </c>
    </row>
    <row r="89" customFormat="false" ht="15" hidden="false" customHeight="true" outlineLevel="0" collapsed="false">
      <c r="A89" s="15" t="n">
        <v>46162</v>
      </c>
      <c r="B89" s="16" t="n">
        <v>1</v>
      </c>
    </row>
    <row r="90" customFormat="false" ht="15" hidden="false" customHeight="true" outlineLevel="0" collapsed="false">
      <c r="A90" s="15" t="n">
        <v>46163</v>
      </c>
      <c r="B90" s="16" t="n">
        <v>0</v>
      </c>
    </row>
    <row r="91" customFormat="false" ht="15" hidden="false" customHeight="true" outlineLevel="0" collapsed="false">
      <c r="A91" s="15" t="n">
        <v>46164</v>
      </c>
      <c r="B91" s="16" t="n">
        <v>1</v>
      </c>
    </row>
    <row r="92" customFormat="false" ht="15" hidden="false" customHeight="true" outlineLevel="0" collapsed="false">
      <c r="A92" s="15" t="n">
        <v>46165</v>
      </c>
      <c r="B92" s="16" t="n">
        <v>0</v>
      </c>
    </row>
    <row r="93" customFormat="false" ht="15" hidden="false" customHeight="true" outlineLevel="0" collapsed="false">
      <c r="A93" s="15" t="n">
        <v>46166</v>
      </c>
      <c r="B93" s="16" t="n">
        <v>4</v>
      </c>
    </row>
    <row r="94" customFormat="false" ht="15" hidden="false" customHeight="true" outlineLevel="0" collapsed="false">
      <c r="A94" s="15" t="n">
        <v>46167</v>
      </c>
      <c r="B94" s="16" t="n">
        <v>21</v>
      </c>
    </row>
    <row r="95" customFormat="false" ht="15" hidden="false" customHeight="true" outlineLevel="0" collapsed="false">
      <c r="A95" s="15" t="n">
        <v>46168</v>
      </c>
      <c r="B95" s="16" t="n">
        <v>17</v>
      </c>
    </row>
    <row r="96" customFormat="false" ht="15" hidden="false" customHeight="true" outlineLevel="0" collapsed="false">
      <c r="A96" s="15" t="n">
        <v>46169</v>
      </c>
      <c r="B96" s="16" t="n">
        <v>33</v>
      </c>
    </row>
    <row r="97" customFormat="false" ht="15" hidden="false" customHeight="true" outlineLevel="0" collapsed="false">
      <c r="A97" s="15" t="n">
        <v>46170</v>
      </c>
      <c r="B97" s="16" t="n">
        <v>13</v>
      </c>
    </row>
    <row r="98" customFormat="false" ht="15" hidden="false" customHeight="true" outlineLevel="0" collapsed="false">
      <c r="A98" s="15" t="n">
        <v>46171</v>
      </c>
      <c r="B98" s="16" t="n">
        <v>26</v>
      </c>
    </row>
    <row r="99" customFormat="false" ht="15" hidden="false" customHeight="true" outlineLevel="0" collapsed="false">
      <c r="A99" s="15" t="n">
        <v>46172</v>
      </c>
      <c r="B99" s="16" t="n">
        <v>5</v>
      </c>
    </row>
    <row r="100" customFormat="false" ht="15" hidden="false" customHeight="true" outlineLevel="0" collapsed="false">
      <c r="A100" s="15" t="n">
        <v>46173</v>
      </c>
      <c r="B100" s="16" t="n">
        <v>14</v>
      </c>
    </row>
    <row r="101" customFormat="false" ht="15" hidden="false" customHeight="true" outlineLevel="0" collapsed="false">
      <c r="A101" s="15" t="n">
        <v>46174</v>
      </c>
      <c r="B101" s="16" t="n">
        <v>8</v>
      </c>
    </row>
    <row r="102" customFormat="false" ht="15" hidden="false" customHeight="true" outlineLevel="0" collapsed="false">
      <c r="A102" s="15" t="n">
        <v>46175</v>
      </c>
      <c r="B102" s="16" t="n">
        <v>14</v>
      </c>
    </row>
    <row r="103" customFormat="false" ht="15" hidden="false" customHeight="true" outlineLevel="0" collapsed="false">
      <c r="A103" s="15" t="n">
        <v>46176</v>
      </c>
      <c r="B103" s="16" t="n">
        <v>16</v>
      </c>
    </row>
    <row r="104" customFormat="false" ht="15" hidden="false" customHeight="true" outlineLevel="0" collapsed="false">
      <c r="A104" s="15" t="n">
        <v>46177</v>
      </c>
      <c r="B104" s="16" t="n">
        <v>36</v>
      </c>
    </row>
    <row r="105" customFormat="false" ht="15" hidden="false" customHeight="true" outlineLevel="0" collapsed="false">
      <c r="A105" s="15" t="n">
        <v>46178</v>
      </c>
      <c r="B105" s="16" t="n">
        <v>13</v>
      </c>
    </row>
    <row r="106" customFormat="false" ht="15" hidden="false" customHeight="true" outlineLevel="0" collapsed="false">
      <c r="A106" s="15" t="n">
        <v>46179</v>
      </c>
      <c r="B106" s="16" t="n">
        <v>5</v>
      </c>
    </row>
    <row r="107" customFormat="false" ht="15" hidden="false" customHeight="true" outlineLevel="0" collapsed="false">
      <c r="A107" s="15" t="n">
        <v>46180</v>
      </c>
      <c r="B107" s="16" t="n">
        <v>7</v>
      </c>
    </row>
    <row r="108" customFormat="false" ht="15" hidden="false" customHeight="true" outlineLevel="0" collapsed="false">
      <c r="A108" s="15" t="n">
        <v>46181</v>
      </c>
      <c r="B108" s="16" t="n">
        <v>3</v>
      </c>
    </row>
    <row r="109" customFormat="false" ht="15" hidden="false" customHeight="true" outlineLevel="0" collapsed="false">
      <c r="A109" s="15" t="n">
        <v>46182</v>
      </c>
      <c r="B109" s="16" t="n">
        <v>17</v>
      </c>
    </row>
    <row r="110" customFormat="false" ht="15" hidden="false" customHeight="true" outlineLevel="0" collapsed="false">
      <c r="A110" s="15" t="n">
        <v>46183</v>
      </c>
      <c r="B110" s="16" t="n">
        <v>2</v>
      </c>
    </row>
    <row r="111" customFormat="false" ht="15" hidden="false" customHeight="true" outlineLevel="0" collapsed="false">
      <c r="A111" s="15" t="n">
        <v>46184</v>
      </c>
      <c r="B111" s="16" t="n">
        <v>5</v>
      </c>
    </row>
    <row r="112" customFormat="false" ht="15" hidden="false" customHeight="true" outlineLevel="0" collapsed="false">
      <c r="A112" s="15" t="n">
        <v>46185</v>
      </c>
      <c r="B112" s="16" t="n">
        <v>3</v>
      </c>
    </row>
    <row r="113" customFormat="false" ht="15" hidden="false" customHeight="true" outlineLevel="0" collapsed="false">
      <c r="A113" s="15" t="n">
        <v>46186</v>
      </c>
      <c r="B113" s="16" t="n">
        <v>2</v>
      </c>
    </row>
    <row r="114" customFormat="false" ht="15" hidden="false" customHeight="true" outlineLevel="0" collapsed="false">
      <c r="A114" s="15" t="n">
        <v>46187</v>
      </c>
      <c r="B114" s="16" t="n">
        <v>1</v>
      </c>
    </row>
    <row r="115" customFormat="false" ht="15" hidden="false" customHeight="true" outlineLevel="0" collapsed="false">
      <c r="A115" s="15" t="n">
        <v>46188</v>
      </c>
      <c r="B115" s="16" t="n">
        <v>0</v>
      </c>
    </row>
    <row r="116" customFormat="false" ht="15" hidden="false" customHeight="true" outlineLevel="0" collapsed="false">
      <c r="A116" s="15" t="n">
        <v>46189</v>
      </c>
      <c r="B116" s="16" t="n">
        <v>0</v>
      </c>
    </row>
    <row r="117" customFormat="false" ht="15" hidden="false" customHeight="true" outlineLevel="0" collapsed="false">
      <c r="A117" s="15" t="n">
        <v>46190</v>
      </c>
      <c r="B117" s="16" t="n">
        <v>0</v>
      </c>
    </row>
    <row r="118" customFormat="false" ht="15" hidden="false" customHeight="true" outlineLevel="0" collapsed="false">
      <c r="A118" s="15" t="n">
        <v>46191</v>
      </c>
      <c r="B118" s="16" t="n">
        <v>2</v>
      </c>
    </row>
    <row r="119" customFormat="false" ht="15" hidden="false" customHeight="true" outlineLevel="0" collapsed="false">
      <c r="A119" s="15" t="n">
        <v>46192</v>
      </c>
      <c r="B119" s="16" t="n">
        <v>15</v>
      </c>
    </row>
    <row r="120" customFormat="false" ht="15" hidden="false" customHeight="true" outlineLevel="0" collapsed="false">
      <c r="A120" s="15" t="n">
        <v>46193</v>
      </c>
      <c r="B120" s="16" t="n">
        <v>10</v>
      </c>
    </row>
    <row r="121" customFormat="false" ht="15" hidden="false" customHeight="true" outlineLevel="0" collapsed="false">
      <c r="A121" s="15" t="n">
        <v>46194</v>
      </c>
      <c r="B121" s="16" t="n">
        <v>8</v>
      </c>
    </row>
    <row r="122" customFormat="false" ht="15" hidden="false" customHeight="true" outlineLevel="0" collapsed="false">
      <c r="A122" s="15" t="n">
        <v>46195</v>
      </c>
      <c r="B122" s="16" t="n">
        <v>4</v>
      </c>
    </row>
    <row r="123" customFormat="false" ht="15" hidden="false" customHeight="true" outlineLevel="0" collapsed="false">
      <c r="A123" s="15" t="n">
        <v>46196</v>
      </c>
      <c r="B123" s="16" t="n">
        <v>9</v>
      </c>
    </row>
    <row r="124" customFormat="false" ht="15" hidden="false" customHeight="true" outlineLevel="0" collapsed="false">
      <c r="A124" s="15" t="n">
        <v>46197</v>
      </c>
      <c r="B124" s="16" t="n">
        <v>11</v>
      </c>
    </row>
    <row r="125" customFormat="false" ht="15" hidden="false" customHeight="true" outlineLevel="0" collapsed="false">
      <c r="A125" s="15" t="n">
        <v>46198</v>
      </c>
      <c r="B125" s="16" t="n">
        <v>17</v>
      </c>
    </row>
    <row r="126" customFormat="false" ht="15" hidden="false" customHeight="true" outlineLevel="0" collapsed="false">
      <c r="A126" s="15" t="n">
        <v>46199</v>
      </c>
      <c r="B126" s="16" t="n">
        <v>2</v>
      </c>
    </row>
    <row r="127" customFormat="false" ht="15" hidden="false" customHeight="true" outlineLevel="0" collapsed="false">
      <c r="A127" s="15" t="n">
        <v>46200</v>
      </c>
      <c r="B127" s="16" t="n">
        <v>4</v>
      </c>
    </row>
    <row r="128" customFormat="false" ht="15" hidden="false" customHeight="true" outlineLevel="0" collapsed="false">
      <c r="A128" s="15" t="n">
        <v>46201</v>
      </c>
      <c r="B128" s="16" t="n">
        <v>1</v>
      </c>
    </row>
    <row r="129" customFormat="false" ht="15" hidden="false" customHeight="true" outlineLevel="0" collapsed="false">
      <c r="A129" s="15" t="n">
        <v>46202</v>
      </c>
      <c r="B129" s="16" t="n">
        <v>9</v>
      </c>
    </row>
    <row r="130" customFormat="false" ht="15" hidden="false" customHeight="true" outlineLevel="0" collapsed="false">
      <c r="A130" s="15" t="n">
        <v>46203</v>
      </c>
      <c r="B130" s="16" t="n">
        <v>14</v>
      </c>
    </row>
    <row r="131" customFormat="false" ht="15" hidden="false" customHeight="true" outlineLevel="0" collapsed="false">
      <c r="A131" s="15" t="n">
        <v>46204</v>
      </c>
      <c r="B131" s="16" t="n">
        <v>13</v>
      </c>
    </row>
    <row r="132" customFormat="false" ht="15" hidden="false" customHeight="true" outlineLevel="0" collapsed="false">
      <c r="A132" s="15" t="n">
        <v>46205</v>
      </c>
      <c r="B132" s="16" t="n">
        <v>11</v>
      </c>
    </row>
    <row r="133" customFormat="false" ht="15" hidden="false" customHeight="true" outlineLevel="0" collapsed="false">
      <c r="A133" s="15" t="n">
        <v>46206</v>
      </c>
      <c r="B133" s="16" t="n">
        <v>2</v>
      </c>
    </row>
    <row r="134" customFormat="false" ht="15" hidden="false" customHeight="true" outlineLevel="0" collapsed="false">
      <c r="A134" s="15" t="n">
        <v>46207</v>
      </c>
      <c r="B134" s="16" t="n">
        <v>5</v>
      </c>
    </row>
    <row r="135" customFormat="false" ht="15" hidden="false" customHeight="true" outlineLevel="0" collapsed="false">
      <c r="A135" s="15" t="n">
        <v>46208</v>
      </c>
      <c r="B135" s="16" t="n">
        <v>5</v>
      </c>
    </row>
    <row r="136" customFormat="false" ht="15" hidden="false" customHeight="true" outlineLevel="0" collapsed="false">
      <c r="A136" s="15" t="n">
        <v>46209</v>
      </c>
      <c r="B136" s="16" t="n">
        <v>7</v>
      </c>
    </row>
    <row r="137" customFormat="false" ht="15" hidden="false" customHeight="true" outlineLevel="0" collapsed="false">
      <c r="A137" s="15" t="n">
        <v>46210</v>
      </c>
      <c r="B137" s="16" t="n">
        <v>4</v>
      </c>
    </row>
    <row r="138" customFormat="false" ht="15" hidden="false" customHeight="true" outlineLevel="0" collapsed="false">
      <c r="A138" s="15" t="n">
        <v>46211</v>
      </c>
      <c r="B138" s="16" t="n">
        <v>5</v>
      </c>
    </row>
    <row r="139" customFormat="false" ht="15" hidden="false" customHeight="true" outlineLevel="0" collapsed="false">
      <c r="A139" s="15" t="n">
        <v>46212</v>
      </c>
      <c r="B139" s="16" t="n">
        <v>6</v>
      </c>
    </row>
    <row r="140" customFormat="false" ht="15" hidden="false" customHeight="true" outlineLevel="0" collapsed="false">
      <c r="A140" s="15" t="n">
        <v>46213</v>
      </c>
      <c r="B140" s="16" t="n">
        <v>2</v>
      </c>
    </row>
    <row r="141" customFormat="false" ht="15" hidden="false" customHeight="true" outlineLevel="0" collapsed="false">
      <c r="A141" s="15" t="n">
        <v>46214</v>
      </c>
      <c r="B141" s="16" t="n">
        <v>12</v>
      </c>
    </row>
    <row r="142" customFormat="false" ht="15" hidden="false" customHeight="true" outlineLevel="0" collapsed="false">
      <c r="A142" s="15" t="n">
        <v>46215</v>
      </c>
      <c r="B142" s="16" t="n">
        <v>2</v>
      </c>
    </row>
    <row r="143" customFormat="false" ht="15" hidden="false" customHeight="true" outlineLevel="0" collapsed="false">
      <c r="A143" s="15" t="n">
        <v>46216</v>
      </c>
      <c r="B143" s="16" t="n">
        <v>1</v>
      </c>
    </row>
    <row r="144" customFormat="false" ht="15" hidden="false" customHeight="true" outlineLevel="0" collapsed="false">
      <c r="A144" s="15" t="n">
        <v>46217</v>
      </c>
      <c r="B144" s="16" t="n">
        <v>7</v>
      </c>
    </row>
    <row r="145" customFormat="false" ht="15" hidden="false" customHeight="true" outlineLevel="0" collapsed="false">
      <c r="A145" s="15" t="n">
        <v>46218</v>
      </c>
      <c r="B145" s="16" t="n">
        <v>1</v>
      </c>
    </row>
  </sheetData>
  <autoFilter ref="A1:B1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14"/>
    <col collapsed="false" customWidth="true" hidden="false" outlineLevel="0" max="2" min="2" style="14" width="22"/>
    <col collapsed="false" customWidth="true" hidden="false" outlineLevel="0" max="3" min="3" style="14" width="30"/>
    <col collapsed="false" customWidth="true" hidden="false" outlineLevel="0" max="5" min="4" style="14" width="11"/>
  </cols>
  <sheetData>
    <row r="1" customFormat="false" ht="26.25" hidden="false" customHeight="true" outlineLevel="0" collapsed="false">
      <c r="A1" s="3" t="s">
        <v>39</v>
      </c>
      <c r="B1" s="3" t="s">
        <v>79</v>
      </c>
      <c r="C1" s="3" t="s">
        <v>80</v>
      </c>
      <c r="D1" s="3" t="s">
        <v>81</v>
      </c>
      <c r="E1" s="3" t="s">
        <v>82</v>
      </c>
    </row>
    <row r="2" customFormat="false" ht="15" hidden="false" customHeight="true" outlineLevel="0" collapsed="false">
      <c r="A2" s="15" t="n">
        <v>46076</v>
      </c>
      <c r="B2" s="26" t="n">
        <v>11.91</v>
      </c>
      <c r="C2" s="27" t="n">
        <v>0.661666666666667</v>
      </c>
      <c r="D2" s="16"/>
      <c r="E2" s="16" t="n">
        <v>32</v>
      </c>
    </row>
    <row r="3" customFormat="false" ht="15" hidden="false" customHeight="true" outlineLevel="0" collapsed="false">
      <c r="A3" s="15" t="n">
        <v>46077</v>
      </c>
      <c r="B3" s="26" t="n">
        <v>13.31</v>
      </c>
      <c r="C3" s="27" t="n">
        <v>0.458965517241379</v>
      </c>
      <c r="D3" s="16"/>
      <c r="E3" s="16" t="n">
        <v>50</v>
      </c>
    </row>
    <row r="4" customFormat="false" ht="15" hidden="false" customHeight="true" outlineLevel="0" collapsed="false">
      <c r="A4" s="15" t="n">
        <v>46078</v>
      </c>
      <c r="B4" s="26" t="n">
        <v>23.04</v>
      </c>
      <c r="C4" s="27" t="n">
        <v>0.822857142857143</v>
      </c>
      <c r="D4" s="16"/>
      <c r="E4" s="16" t="n">
        <v>62</v>
      </c>
    </row>
    <row r="5" customFormat="false" ht="15" hidden="false" customHeight="true" outlineLevel="0" collapsed="false">
      <c r="A5" s="15" t="n">
        <v>46079</v>
      </c>
      <c r="B5" s="26" t="n">
        <v>14.67</v>
      </c>
      <c r="C5" s="27" t="n">
        <v>0.5868</v>
      </c>
      <c r="D5" s="16"/>
      <c r="E5" s="16" t="n">
        <v>70</v>
      </c>
    </row>
    <row r="6" customFormat="false" ht="15" hidden="false" customHeight="true" outlineLevel="0" collapsed="false">
      <c r="A6" s="15" t="n">
        <v>46080</v>
      </c>
      <c r="B6" s="26" t="n">
        <v>15.95</v>
      </c>
      <c r="C6" s="27" t="n">
        <v>0.886111111111111</v>
      </c>
      <c r="D6" s="16"/>
      <c r="E6" s="16" t="n">
        <v>77</v>
      </c>
    </row>
    <row r="7" customFormat="false" ht="15" hidden="false" customHeight="true" outlineLevel="0" collapsed="false">
      <c r="A7" s="15" t="n">
        <v>46081</v>
      </c>
      <c r="B7" s="26" t="n">
        <v>4.5</v>
      </c>
      <c r="C7" s="27" t="n">
        <v>0.409090909090909</v>
      </c>
      <c r="D7" s="16"/>
      <c r="E7" s="16" t="n">
        <v>79</v>
      </c>
    </row>
    <row r="8" customFormat="false" ht="15" hidden="false" customHeight="true" outlineLevel="0" collapsed="false">
      <c r="A8" s="15" t="n">
        <v>46082</v>
      </c>
      <c r="B8" s="26" t="n">
        <v>3.42</v>
      </c>
      <c r="C8" s="27" t="n">
        <v>0.4275</v>
      </c>
      <c r="D8" s="16"/>
      <c r="E8" s="16" t="n">
        <v>79</v>
      </c>
    </row>
    <row r="9" customFormat="false" ht="15" hidden="false" customHeight="true" outlineLevel="0" collapsed="false">
      <c r="A9" s="15" t="n">
        <v>46083</v>
      </c>
      <c r="B9" s="26" t="n">
        <v>11.08</v>
      </c>
      <c r="C9" s="27" t="n">
        <v>0.583157894736842</v>
      </c>
      <c r="D9" s="16"/>
      <c r="E9" s="16" t="n">
        <v>84</v>
      </c>
    </row>
    <row r="10" customFormat="false" ht="15" hidden="false" customHeight="true" outlineLevel="0" collapsed="false">
      <c r="A10" s="15" t="n">
        <v>46084</v>
      </c>
      <c r="B10" s="26" t="n">
        <v>15.63</v>
      </c>
      <c r="C10" s="27" t="n">
        <v>0.679565217391304</v>
      </c>
      <c r="D10" s="16"/>
      <c r="E10" s="16" t="n">
        <v>87</v>
      </c>
    </row>
    <row r="11" customFormat="false" ht="15" hidden="false" customHeight="true" outlineLevel="0" collapsed="false">
      <c r="A11" s="15" t="n">
        <v>46085</v>
      </c>
      <c r="B11" s="26" t="n">
        <v>10.17</v>
      </c>
      <c r="C11" s="27" t="n">
        <v>0.5085</v>
      </c>
      <c r="D11" s="16"/>
      <c r="E11" s="16" t="n">
        <v>90</v>
      </c>
    </row>
    <row r="12" customFormat="false" ht="15" hidden="false" customHeight="true" outlineLevel="0" collapsed="false">
      <c r="A12" s="15" t="n">
        <v>46086</v>
      </c>
      <c r="B12" s="26" t="n">
        <v>20.67</v>
      </c>
      <c r="C12" s="27" t="n">
        <v>0.984285714285714</v>
      </c>
      <c r="D12" s="16"/>
      <c r="E12" s="16" t="n">
        <v>90</v>
      </c>
    </row>
    <row r="13" customFormat="false" ht="15" hidden="false" customHeight="true" outlineLevel="0" collapsed="false">
      <c r="A13" s="15" t="n">
        <v>46087</v>
      </c>
      <c r="B13" s="26" t="n">
        <v>10.68</v>
      </c>
      <c r="C13" s="27" t="n">
        <v>0.534</v>
      </c>
      <c r="D13" s="16"/>
      <c r="E13" s="16" t="n">
        <v>99</v>
      </c>
    </row>
    <row r="14" customFormat="false" ht="15" hidden="false" customHeight="true" outlineLevel="0" collapsed="false">
      <c r="A14" s="15" t="n">
        <v>46088</v>
      </c>
      <c r="B14" s="26" t="n">
        <v>4.91</v>
      </c>
      <c r="C14" s="27" t="n">
        <v>0.288823529411765</v>
      </c>
      <c r="D14" s="16"/>
      <c r="E14" s="16" t="n">
        <v>99</v>
      </c>
    </row>
    <row r="15" customFormat="false" ht="15" hidden="false" customHeight="true" outlineLevel="0" collapsed="false">
      <c r="A15" s="15" t="n">
        <v>46089</v>
      </c>
      <c r="B15" s="26" t="n">
        <v>1.2</v>
      </c>
      <c r="C15" s="27" t="n">
        <v>0.15</v>
      </c>
      <c r="D15" s="16"/>
      <c r="E15" s="16" t="n">
        <v>102</v>
      </c>
    </row>
    <row r="16" customFormat="false" ht="15" hidden="false" customHeight="true" outlineLevel="0" collapsed="false">
      <c r="A16" s="15" t="n">
        <v>46090</v>
      </c>
      <c r="B16" s="26" t="n">
        <v>9.46</v>
      </c>
      <c r="C16" s="27" t="n">
        <v>0.727692307692308</v>
      </c>
      <c r="D16" s="16"/>
      <c r="E16" s="16" t="n">
        <v>108</v>
      </c>
    </row>
    <row r="17" customFormat="false" ht="15" hidden="false" customHeight="true" outlineLevel="0" collapsed="false">
      <c r="A17" s="15" t="n">
        <v>46091</v>
      </c>
      <c r="B17" s="26" t="n">
        <v>12.57</v>
      </c>
      <c r="C17" s="27" t="n">
        <v>0.6285</v>
      </c>
      <c r="D17" s="16" t="n">
        <v>1</v>
      </c>
      <c r="E17" s="16" t="n">
        <v>112</v>
      </c>
    </row>
    <row r="18" customFormat="false" ht="15" hidden="false" customHeight="true" outlineLevel="0" collapsed="false">
      <c r="A18" s="15" t="n">
        <v>46092</v>
      </c>
      <c r="B18" s="26" t="n">
        <v>15.56</v>
      </c>
      <c r="C18" s="27" t="n">
        <v>0.818947368421053</v>
      </c>
      <c r="D18" s="16" t="n">
        <v>0</v>
      </c>
      <c r="E18" s="16" t="n">
        <v>115</v>
      </c>
    </row>
    <row r="19" customFormat="false" ht="15" hidden="false" customHeight="true" outlineLevel="0" collapsed="false">
      <c r="A19" s="15" t="n">
        <v>46093</v>
      </c>
      <c r="B19" s="26" t="n">
        <v>5.74</v>
      </c>
      <c r="C19" s="27" t="n">
        <v>0.382666666666667</v>
      </c>
      <c r="D19" s="16" t="n">
        <v>0</v>
      </c>
      <c r="E19" s="16" t="n">
        <v>116</v>
      </c>
    </row>
    <row r="20" customFormat="false" ht="15" hidden="false" customHeight="true" outlineLevel="0" collapsed="false">
      <c r="A20" s="15" t="n">
        <v>46094</v>
      </c>
      <c r="B20" s="26" t="n">
        <v>15.62</v>
      </c>
      <c r="C20" s="27" t="n">
        <v>0.822105263157895</v>
      </c>
      <c r="D20" s="16" t="n">
        <v>0</v>
      </c>
      <c r="E20" s="16" t="n">
        <v>118</v>
      </c>
    </row>
    <row r="21" customFormat="false" ht="15" hidden="false" customHeight="true" outlineLevel="0" collapsed="false">
      <c r="A21" s="15" t="n">
        <v>46095</v>
      </c>
      <c r="B21" s="26" t="n">
        <v>10.35</v>
      </c>
      <c r="C21" s="27" t="n">
        <v>1.035</v>
      </c>
      <c r="D21" s="16" t="n">
        <v>0</v>
      </c>
      <c r="E21" s="16" t="n">
        <v>119</v>
      </c>
    </row>
    <row r="22" customFormat="false" ht="15" hidden="false" customHeight="true" outlineLevel="0" collapsed="false">
      <c r="A22" s="15" t="n">
        <v>46096</v>
      </c>
      <c r="B22" s="26" t="n">
        <v>5.2</v>
      </c>
      <c r="C22" s="27" t="n">
        <v>1.04</v>
      </c>
      <c r="D22" s="16" t="n">
        <v>0</v>
      </c>
      <c r="E22" s="16" t="n">
        <v>119</v>
      </c>
    </row>
    <row r="23" customFormat="false" ht="15" hidden="false" customHeight="true" outlineLevel="0" collapsed="false">
      <c r="A23" s="15" t="n">
        <v>46097</v>
      </c>
      <c r="B23" s="26" t="n">
        <v>1.01</v>
      </c>
      <c r="C23" s="27" t="n">
        <v>0.202</v>
      </c>
      <c r="D23" s="16" t="n">
        <v>0</v>
      </c>
      <c r="E23" s="16" t="n">
        <v>125</v>
      </c>
    </row>
    <row r="24" customFormat="false" ht="15" hidden="false" customHeight="true" outlineLevel="0" collapsed="false">
      <c r="A24" s="15" t="n">
        <v>46098</v>
      </c>
      <c r="B24" s="26" t="n">
        <v>9.77</v>
      </c>
      <c r="C24" s="27" t="n">
        <v>0.574705882352941</v>
      </c>
      <c r="D24" s="16" t="n">
        <v>1</v>
      </c>
      <c r="E24" s="16" t="n">
        <v>127</v>
      </c>
    </row>
    <row r="25" customFormat="false" ht="15" hidden="false" customHeight="true" outlineLevel="0" collapsed="false">
      <c r="A25" s="15" t="n">
        <v>46099</v>
      </c>
      <c r="B25" s="26" t="n">
        <v>2.3</v>
      </c>
      <c r="C25" s="27" t="n">
        <v>0.209090909090909</v>
      </c>
      <c r="D25" s="16" t="n">
        <v>0</v>
      </c>
      <c r="E25" s="16" t="n">
        <v>128</v>
      </c>
    </row>
    <row r="26" customFormat="false" ht="15" hidden="false" customHeight="true" outlineLevel="0" collapsed="false">
      <c r="A26" s="15" t="n">
        <v>46100</v>
      </c>
      <c r="B26" s="26" t="n">
        <v>7.63</v>
      </c>
      <c r="C26" s="27" t="n">
        <v>0.693636363636364</v>
      </c>
      <c r="D26" s="16" t="n">
        <v>0</v>
      </c>
      <c r="E26" s="16" t="n">
        <v>130</v>
      </c>
    </row>
    <row r="27" customFormat="false" ht="15" hidden="false" customHeight="true" outlineLevel="0" collapsed="false">
      <c r="A27" s="15" t="n">
        <v>46101</v>
      </c>
      <c r="B27" s="26" t="n">
        <v>3.71</v>
      </c>
      <c r="C27" s="27" t="n">
        <v>0.412222222222222</v>
      </c>
      <c r="D27" s="16" t="n">
        <v>0</v>
      </c>
      <c r="E27" s="16" t="n">
        <v>143</v>
      </c>
    </row>
    <row r="28" customFormat="false" ht="15" hidden="false" customHeight="true" outlineLevel="0" collapsed="false">
      <c r="A28" s="15" t="n">
        <v>46102</v>
      </c>
      <c r="B28" s="26" t="n">
        <v>7.12</v>
      </c>
      <c r="C28" s="27" t="n">
        <v>0.593333333333333</v>
      </c>
      <c r="D28" s="16" t="n">
        <v>0</v>
      </c>
      <c r="E28" s="16" t="n">
        <v>155</v>
      </c>
    </row>
    <row r="29" customFormat="false" ht="15" hidden="false" customHeight="true" outlineLevel="0" collapsed="false">
      <c r="A29" s="15" t="n">
        <v>46103</v>
      </c>
      <c r="B29" s="26" t="n">
        <v>15.72</v>
      </c>
      <c r="C29" s="27" t="n">
        <v>1.12285714285714</v>
      </c>
      <c r="D29" s="16" t="n">
        <v>0</v>
      </c>
      <c r="E29" s="16" t="n">
        <v>160</v>
      </c>
    </row>
    <row r="30" customFormat="false" ht="15" hidden="false" customHeight="true" outlineLevel="0" collapsed="false">
      <c r="A30" s="15" t="n">
        <v>46104</v>
      </c>
      <c r="B30" s="26" t="n">
        <v>7.44</v>
      </c>
      <c r="C30" s="27" t="n">
        <v>1.06285714285714</v>
      </c>
      <c r="D30" s="16" t="n">
        <v>0</v>
      </c>
      <c r="E30" s="16" t="n">
        <v>163</v>
      </c>
    </row>
    <row r="31" customFormat="false" ht="15" hidden="false" customHeight="true" outlineLevel="0" collapsed="false">
      <c r="A31" s="15" t="n">
        <v>46105</v>
      </c>
      <c r="B31" s="26" t="n">
        <v>4.67</v>
      </c>
      <c r="C31" s="27" t="n">
        <v>0.778333333333333</v>
      </c>
      <c r="D31" s="16" t="n">
        <v>0</v>
      </c>
      <c r="E31" s="16" t="n">
        <v>165</v>
      </c>
    </row>
    <row r="32" customFormat="false" ht="15" hidden="false" customHeight="true" outlineLevel="0" collapsed="false">
      <c r="A32" s="15" t="n">
        <v>46106</v>
      </c>
      <c r="B32" s="26" t="n">
        <v>8.01</v>
      </c>
      <c r="C32" s="27" t="n">
        <v>1.00125</v>
      </c>
      <c r="D32" s="16" t="n">
        <v>0</v>
      </c>
      <c r="E32" s="16" t="n">
        <v>167</v>
      </c>
    </row>
    <row r="33" customFormat="false" ht="15" hidden="false" customHeight="true" outlineLevel="0" collapsed="false">
      <c r="A33" s="15" t="n">
        <v>46107</v>
      </c>
      <c r="B33" s="26" t="n">
        <v>7.54</v>
      </c>
      <c r="C33" s="27" t="n">
        <v>0.628333333333333</v>
      </c>
      <c r="D33" s="16" t="n">
        <v>0</v>
      </c>
      <c r="E33" s="16" t="n">
        <v>168</v>
      </c>
    </row>
    <row r="34" customFormat="false" ht="15" hidden="false" customHeight="true" outlineLevel="0" collapsed="false">
      <c r="A34" s="15" t="n">
        <v>46108</v>
      </c>
      <c r="B34" s="26" t="n">
        <v>7.11</v>
      </c>
      <c r="C34" s="27" t="n">
        <v>0.88875</v>
      </c>
      <c r="D34" s="16" t="n">
        <v>0</v>
      </c>
      <c r="E34" s="16" t="n">
        <v>168</v>
      </c>
    </row>
    <row r="35" customFormat="false" ht="15" hidden="false" customHeight="true" outlineLevel="0" collapsed="false">
      <c r="A35" s="15" t="n">
        <v>46109</v>
      </c>
      <c r="B35" s="26" t="n">
        <v>3.23</v>
      </c>
      <c r="C35" s="27" t="n">
        <v>0.538333333333333</v>
      </c>
      <c r="D35" s="16" t="n">
        <v>0</v>
      </c>
      <c r="E35" s="16" t="n">
        <v>169</v>
      </c>
    </row>
    <row r="36" customFormat="false" ht="15" hidden="false" customHeight="true" outlineLevel="0" collapsed="false">
      <c r="A36" s="15" t="n">
        <v>46110</v>
      </c>
      <c r="B36" s="26" t="n">
        <v>1.8</v>
      </c>
      <c r="C36" s="27" t="n">
        <v>0.9</v>
      </c>
      <c r="D36" s="16" t="n">
        <v>0</v>
      </c>
      <c r="E36" s="16" t="n">
        <v>169</v>
      </c>
    </row>
    <row r="37" customFormat="false" ht="15" hidden="false" customHeight="true" outlineLevel="0" collapsed="false">
      <c r="A37" s="15" t="n">
        <v>46111</v>
      </c>
      <c r="B37" s="26" t="n">
        <v>2.36</v>
      </c>
      <c r="C37" s="27" t="n">
        <v>0.472</v>
      </c>
      <c r="D37" s="16" t="n">
        <v>0</v>
      </c>
      <c r="E37" s="16" t="n">
        <v>169</v>
      </c>
    </row>
    <row r="38" customFormat="false" ht="15" hidden="false" customHeight="true" outlineLevel="0" collapsed="false">
      <c r="A38" s="15" t="n">
        <v>46112</v>
      </c>
      <c r="B38" s="26" t="n">
        <v>5.23</v>
      </c>
      <c r="C38" s="27" t="n">
        <v>1.046</v>
      </c>
      <c r="D38" s="16" t="n">
        <v>0</v>
      </c>
      <c r="E38" s="16" t="n">
        <v>169</v>
      </c>
    </row>
    <row r="39" customFormat="false" ht="15" hidden="false" customHeight="true" outlineLevel="0" collapsed="false">
      <c r="A39" s="15" t="n">
        <v>46113</v>
      </c>
      <c r="B39" s="26" t="n">
        <v>5.17</v>
      </c>
      <c r="C39" s="27" t="n">
        <v>0.738571428571429</v>
      </c>
      <c r="D39" s="16" t="n">
        <v>0</v>
      </c>
      <c r="E39" s="16" t="n">
        <v>170</v>
      </c>
    </row>
    <row r="40" customFormat="false" ht="15" hidden="false" customHeight="true" outlineLevel="0" collapsed="false">
      <c r="A40" s="15" t="n">
        <v>46114</v>
      </c>
      <c r="B40" s="26" t="n">
        <v>0.75</v>
      </c>
      <c r="C40" s="27" t="n">
        <v>0.15</v>
      </c>
      <c r="D40" s="16" t="n">
        <v>0</v>
      </c>
      <c r="E40" s="16" t="n">
        <v>172</v>
      </c>
    </row>
    <row r="41" customFormat="false" ht="15" hidden="false" customHeight="true" outlineLevel="0" collapsed="false">
      <c r="A41" s="15" t="n">
        <v>46115</v>
      </c>
      <c r="B41" s="26" t="n">
        <v>1.4</v>
      </c>
      <c r="C41" s="27" t="n">
        <v>0.35</v>
      </c>
      <c r="D41" s="16" t="n">
        <v>0</v>
      </c>
      <c r="E41" s="16" t="n">
        <v>173</v>
      </c>
    </row>
    <row r="42" customFormat="false" ht="15" hidden="false" customHeight="true" outlineLevel="0" collapsed="false">
      <c r="A42" s="15" t="n">
        <v>46116</v>
      </c>
      <c r="B42" s="26" t="n">
        <v>3.99</v>
      </c>
      <c r="C42" s="27" t="n">
        <v>1.995</v>
      </c>
      <c r="D42" s="16" t="n">
        <v>0</v>
      </c>
      <c r="E42" s="16" t="n">
        <v>173</v>
      </c>
    </row>
    <row r="43" customFormat="false" ht="15" hidden="false" customHeight="true" outlineLevel="0" collapsed="false">
      <c r="A43" s="15" t="n">
        <v>46117</v>
      </c>
      <c r="B43" s="26" t="n">
        <v>2.22</v>
      </c>
      <c r="C43" s="27" t="n">
        <v>0.74</v>
      </c>
      <c r="D43" s="16" t="n">
        <v>0</v>
      </c>
      <c r="E43" s="16" t="n">
        <v>173</v>
      </c>
    </row>
    <row r="44" customFormat="false" ht="15" hidden="false" customHeight="true" outlineLevel="0" collapsed="false">
      <c r="A44" s="15" t="n">
        <v>46118</v>
      </c>
      <c r="B44" s="26" t="n">
        <v>5.99</v>
      </c>
      <c r="C44" s="27" t="n">
        <v>0.599</v>
      </c>
      <c r="D44" s="16" t="n">
        <v>0</v>
      </c>
      <c r="E44" s="16" t="n">
        <v>174</v>
      </c>
    </row>
    <row r="45" customFormat="false" ht="15" hidden="false" customHeight="true" outlineLevel="0" collapsed="false">
      <c r="A45" s="15" t="n">
        <v>46119</v>
      </c>
      <c r="B45" s="26" t="n">
        <v>0.65</v>
      </c>
      <c r="C45" s="27" t="n">
        <v>0.216666666666667</v>
      </c>
      <c r="D45" s="16" t="n">
        <v>0</v>
      </c>
      <c r="E45" s="16" t="n">
        <v>174</v>
      </c>
    </row>
    <row r="46" customFormat="false" ht="15" hidden="false" customHeight="true" outlineLevel="0" collapsed="false">
      <c r="A46" s="15" t="n">
        <v>46120</v>
      </c>
      <c r="B46" s="26" t="n">
        <v>4.11</v>
      </c>
      <c r="C46" s="27" t="n">
        <v>0.822</v>
      </c>
      <c r="D46" s="16" t="n">
        <v>0</v>
      </c>
      <c r="E46" s="16" t="n">
        <v>174</v>
      </c>
    </row>
    <row r="47" customFormat="false" ht="15" hidden="false" customHeight="true" outlineLevel="0" collapsed="false">
      <c r="A47" s="15" t="n">
        <v>46121</v>
      </c>
      <c r="B47" s="26" t="n">
        <v>1.02</v>
      </c>
      <c r="C47" s="27" t="n">
        <v>0.255</v>
      </c>
      <c r="D47" s="16" t="n">
        <v>0</v>
      </c>
      <c r="E47" s="16" t="n">
        <v>174</v>
      </c>
    </row>
    <row r="48" customFormat="false" ht="15" hidden="false" customHeight="true" outlineLevel="0" collapsed="false">
      <c r="A48" s="15" t="n">
        <v>46122</v>
      </c>
      <c r="B48" s="26" t="n">
        <v>2.25</v>
      </c>
      <c r="C48" s="27" t="n">
        <v>0.45</v>
      </c>
      <c r="D48" s="16" t="n">
        <v>0</v>
      </c>
      <c r="E48" s="16" t="n">
        <v>185</v>
      </c>
    </row>
    <row r="49" customFormat="false" ht="15" hidden="false" customHeight="true" outlineLevel="0" collapsed="false">
      <c r="A49" s="15" t="n">
        <v>46123</v>
      </c>
      <c r="B49" s="26" t="n">
        <v>3.23</v>
      </c>
      <c r="C49" s="27" t="n">
        <v>1.07666666666667</v>
      </c>
      <c r="D49" s="16" t="n">
        <v>0</v>
      </c>
      <c r="E49" s="16" t="n">
        <v>188</v>
      </c>
    </row>
    <row r="50" customFormat="false" ht="15" hidden="false" customHeight="true" outlineLevel="0" collapsed="false">
      <c r="A50" s="15" t="n">
        <v>46124</v>
      </c>
      <c r="B50" s="26" t="n">
        <v>1.91</v>
      </c>
      <c r="C50" s="27" t="n">
        <v>0.4775</v>
      </c>
      <c r="D50" s="16" t="n">
        <v>0</v>
      </c>
      <c r="E50" s="16" t="n">
        <v>191</v>
      </c>
    </row>
    <row r="51" customFormat="false" ht="15" hidden="false" customHeight="true" outlineLevel="0" collapsed="false">
      <c r="A51" s="15" t="n">
        <v>46125</v>
      </c>
      <c r="B51" s="26" t="n">
        <v>3.04</v>
      </c>
      <c r="C51" s="27" t="n">
        <v>0.76</v>
      </c>
      <c r="D51" s="16" t="n">
        <v>0</v>
      </c>
      <c r="E51" s="16" t="n">
        <v>196</v>
      </c>
    </row>
    <row r="52" customFormat="false" ht="15" hidden="false" customHeight="true" outlineLevel="0" collapsed="false">
      <c r="A52" s="15" t="n">
        <v>46126</v>
      </c>
      <c r="B52" s="26" t="n">
        <v>5.83</v>
      </c>
      <c r="C52" s="27" t="n">
        <v>1.166</v>
      </c>
      <c r="D52" s="16" t="n">
        <v>0</v>
      </c>
      <c r="E52" s="16" t="n">
        <v>197</v>
      </c>
    </row>
    <row r="53" customFormat="false" ht="15" hidden="false" customHeight="true" outlineLevel="0" collapsed="false">
      <c r="A53" s="15" t="n">
        <v>46127</v>
      </c>
      <c r="B53" s="26" t="n">
        <v>1.9</v>
      </c>
      <c r="C53" s="27" t="n">
        <v>0.475</v>
      </c>
      <c r="D53" s="16" t="n">
        <v>0</v>
      </c>
      <c r="E53" s="16" t="n">
        <v>197</v>
      </c>
    </row>
    <row r="54" customFormat="false" ht="15" hidden="false" customHeight="true" outlineLevel="0" collapsed="false">
      <c r="A54" s="15" t="n">
        <v>46128</v>
      </c>
      <c r="B54" s="26" t="n">
        <v>3.95</v>
      </c>
      <c r="C54" s="27" t="n">
        <v>0.79</v>
      </c>
      <c r="D54" s="16" t="n">
        <v>0</v>
      </c>
      <c r="E54" s="16" t="n">
        <v>197</v>
      </c>
    </row>
    <row r="55" customFormat="false" ht="15" hidden="false" customHeight="true" outlineLevel="0" collapsed="false">
      <c r="A55" s="15" t="n">
        <v>46129</v>
      </c>
      <c r="B55" s="26" t="n">
        <v>1.77</v>
      </c>
      <c r="C55" s="27" t="n">
        <v>0.4425</v>
      </c>
      <c r="D55" s="16" t="n">
        <v>0</v>
      </c>
      <c r="E55" s="16" t="n">
        <v>198</v>
      </c>
    </row>
    <row r="56" customFormat="false" ht="15" hidden="false" customHeight="true" outlineLevel="0" collapsed="false">
      <c r="A56" s="15" t="n">
        <v>46130</v>
      </c>
      <c r="B56" s="26" t="n">
        <v>0.74</v>
      </c>
      <c r="C56" s="27" t="n">
        <v>0.37</v>
      </c>
      <c r="D56" s="16" t="n">
        <v>0</v>
      </c>
      <c r="E56" s="16" t="n">
        <v>198</v>
      </c>
    </row>
    <row r="57" customFormat="false" ht="15" hidden="false" customHeight="true" outlineLevel="0" collapsed="false">
      <c r="A57" s="15" t="n">
        <v>46131</v>
      </c>
      <c r="B57" s="26" t="n">
        <v>1.15</v>
      </c>
      <c r="C57" s="27" t="n">
        <v>1.15</v>
      </c>
      <c r="D57" s="16" t="n">
        <v>0</v>
      </c>
      <c r="E57" s="16" t="n">
        <v>199</v>
      </c>
    </row>
    <row r="58" customFormat="false" ht="15" hidden="false" customHeight="true" outlineLevel="0" collapsed="false">
      <c r="A58" s="15" t="n">
        <v>46132</v>
      </c>
      <c r="B58" s="26" t="n">
        <v>0</v>
      </c>
      <c r="C58" s="27" t="n">
        <v>0</v>
      </c>
      <c r="D58" s="16" t="n">
        <v>0</v>
      </c>
      <c r="E58" s="16" t="n">
        <v>199</v>
      </c>
    </row>
    <row r="59" customFormat="false" ht="15" hidden="false" customHeight="true" outlineLevel="0" collapsed="false">
      <c r="A59" s="15" t="n">
        <v>46133</v>
      </c>
      <c r="B59" s="26" t="n">
        <v>2.9</v>
      </c>
      <c r="C59" s="27" t="n">
        <v>0.58</v>
      </c>
      <c r="D59" s="16" t="n">
        <v>0</v>
      </c>
      <c r="E59" s="16" t="n">
        <v>199</v>
      </c>
    </row>
    <row r="60" customFormat="false" ht="15" hidden="false" customHeight="true" outlineLevel="0" collapsed="false">
      <c r="A60" s="15" t="n">
        <v>46134</v>
      </c>
      <c r="B60" s="26" t="n">
        <v>1.63</v>
      </c>
      <c r="C60" s="27" t="n">
        <v>0.326</v>
      </c>
      <c r="D60" s="16" t="n">
        <v>0</v>
      </c>
      <c r="E60" s="16" t="n">
        <v>199</v>
      </c>
    </row>
    <row r="61" customFormat="false" ht="15" hidden="false" customHeight="true" outlineLevel="0" collapsed="false">
      <c r="A61" s="15" t="n">
        <v>46135</v>
      </c>
      <c r="B61" s="26" t="n">
        <v>3.57</v>
      </c>
      <c r="C61" s="27" t="n">
        <v>0.595</v>
      </c>
      <c r="D61" s="16" t="n">
        <v>0</v>
      </c>
      <c r="E61" s="16" t="n">
        <v>200</v>
      </c>
    </row>
    <row r="62" customFormat="false" ht="15" hidden="false" customHeight="true" outlineLevel="0" collapsed="false">
      <c r="A62" s="15" t="n">
        <v>46136</v>
      </c>
      <c r="B62" s="26" t="n">
        <v>4.08</v>
      </c>
      <c r="C62" s="27" t="n">
        <v>1.36</v>
      </c>
      <c r="D62" s="16" t="n">
        <v>0</v>
      </c>
      <c r="E62" s="16" t="n">
        <v>201</v>
      </c>
    </row>
    <row r="63" customFormat="false" ht="15" hidden="false" customHeight="true" outlineLevel="0" collapsed="false">
      <c r="A63" s="15" t="n">
        <v>46137</v>
      </c>
      <c r="B63" s="26" t="n">
        <v>2.22</v>
      </c>
      <c r="C63" s="27" t="n">
        <v>0.555</v>
      </c>
      <c r="D63" s="16" t="n">
        <v>0</v>
      </c>
      <c r="E63" s="16" t="n">
        <v>202</v>
      </c>
    </row>
    <row r="64" customFormat="false" ht="15" hidden="false" customHeight="true" outlineLevel="0" collapsed="false">
      <c r="A64" s="15" t="n">
        <v>46138</v>
      </c>
      <c r="B64" s="26" t="n">
        <v>0.82</v>
      </c>
      <c r="C64" s="27" t="n">
        <v>0.82</v>
      </c>
      <c r="D64" s="16" t="n">
        <v>0</v>
      </c>
      <c r="E64" s="16" t="n">
        <v>202</v>
      </c>
    </row>
    <row r="65" customFormat="false" ht="15" hidden="false" customHeight="true" outlineLevel="0" collapsed="false">
      <c r="A65" s="15" t="n">
        <v>46139</v>
      </c>
      <c r="B65" s="26" t="n">
        <v>2.22</v>
      </c>
      <c r="C65" s="27" t="n">
        <v>1.11</v>
      </c>
      <c r="D65" s="16" t="n">
        <v>0</v>
      </c>
      <c r="E65" s="16" t="n">
        <v>202</v>
      </c>
    </row>
    <row r="66" customFormat="false" ht="15" hidden="false" customHeight="true" outlineLevel="0" collapsed="false">
      <c r="A66" s="15" t="n">
        <v>46140</v>
      </c>
      <c r="B66" s="26" t="n">
        <v>0.63</v>
      </c>
      <c r="C66" s="27" t="n">
        <v>0.315</v>
      </c>
      <c r="D66" s="16" t="n">
        <v>0</v>
      </c>
      <c r="E66" s="16" t="n">
        <v>202</v>
      </c>
    </row>
    <row r="67" customFormat="false" ht="15" hidden="false" customHeight="true" outlineLevel="0" collapsed="false">
      <c r="A67" s="15" t="n">
        <v>46141</v>
      </c>
      <c r="B67" s="26" t="n">
        <v>1.14</v>
      </c>
      <c r="C67" s="27" t="n">
        <v>0.285</v>
      </c>
      <c r="D67" s="16" t="n">
        <v>0</v>
      </c>
      <c r="E67" s="16" t="n">
        <v>202</v>
      </c>
    </row>
    <row r="68" customFormat="false" ht="15" hidden="false" customHeight="true" outlineLevel="0" collapsed="false">
      <c r="A68" s="15" t="n">
        <v>46142</v>
      </c>
      <c r="B68" s="26" t="n">
        <v>0.86</v>
      </c>
      <c r="C68" s="27" t="n">
        <v>0.286666666666667</v>
      </c>
      <c r="D68" s="16" t="n">
        <v>0</v>
      </c>
      <c r="E68" s="16" t="n">
        <v>202</v>
      </c>
    </row>
    <row r="69" customFormat="false" ht="15" hidden="false" customHeight="true" outlineLevel="0" collapsed="false">
      <c r="A69" s="15" t="n">
        <v>46143</v>
      </c>
      <c r="B69" s="26" t="n">
        <v>1.48</v>
      </c>
      <c r="C69" s="27" t="n">
        <v>0.493333333333333</v>
      </c>
      <c r="D69" s="16" t="n">
        <v>0</v>
      </c>
      <c r="E69" s="16" t="n">
        <v>202</v>
      </c>
    </row>
    <row r="70" customFormat="false" ht="15" hidden="false" customHeight="true" outlineLevel="0" collapsed="false">
      <c r="A70" s="15" t="n">
        <v>46144</v>
      </c>
      <c r="B70" s="26" t="n">
        <v>0.91</v>
      </c>
      <c r="C70" s="27" t="n">
        <v>0.91</v>
      </c>
      <c r="D70" s="16" t="n">
        <v>0</v>
      </c>
      <c r="E70" s="16" t="n">
        <v>202</v>
      </c>
    </row>
    <row r="71" customFormat="false" ht="15" hidden="false" customHeight="true" outlineLevel="0" collapsed="false">
      <c r="A71" s="15" t="n">
        <v>46145</v>
      </c>
      <c r="B71" s="26" t="n">
        <v>0.34</v>
      </c>
      <c r="C71" s="27" t="n">
        <v>0.34</v>
      </c>
      <c r="D71" s="16" t="n">
        <v>0</v>
      </c>
      <c r="E71" s="16" t="n">
        <v>202</v>
      </c>
    </row>
    <row r="72" customFormat="false" ht="15" hidden="false" customHeight="true" outlineLevel="0" collapsed="false">
      <c r="A72" s="15" t="n">
        <v>46146</v>
      </c>
      <c r="B72" s="26" t="n">
        <v>1.49</v>
      </c>
      <c r="C72" s="27" t="n">
        <v>1.49</v>
      </c>
      <c r="D72" s="16" t="n">
        <v>0</v>
      </c>
      <c r="E72" s="16" t="n">
        <v>202</v>
      </c>
    </row>
    <row r="73" customFormat="false" ht="15" hidden="false" customHeight="true" outlineLevel="0" collapsed="false">
      <c r="A73" s="15" t="n">
        <v>46147</v>
      </c>
      <c r="B73" s="26" t="n">
        <v>3.44</v>
      </c>
      <c r="C73" s="27" t="n">
        <v>0.573333333333333</v>
      </c>
      <c r="D73" s="16" t="n">
        <v>0</v>
      </c>
      <c r="E73" s="16" t="n">
        <v>205</v>
      </c>
    </row>
    <row r="74" customFormat="false" ht="15" hidden="false" customHeight="true" outlineLevel="0" collapsed="false">
      <c r="A74" s="15" t="n">
        <v>46148</v>
      </c>
      <c r="B74" s="26" t="n">
        <v>4.44</v>
      </c>
      <c r="C74" s="27" t="n">
        <v>0.888</v>
      </c>
      <c r="D74" s="16" t="n">
        <v>0</v>
      </c>
      <c r="E74" s="16" t="n">
        <v>207</v>
      </c>
    </row>
    <row r="75" customFormat="false" ht="15" hidden="false" customHeight="true" outlineLevel="0" collapsed="false">
      <c r="A75" s="15" t="n">
        <v>46149</v>
      </c>
      <c r="B75" s="26" t="n">
        <v>2.15</v>
      </c>
      <c r="C75" s="27" t="n">
        <v>0.716666666666667</v>
      </c>
      <c r="D75" s="16" t="n">
        <v>0</v>
      </c>
      <c r="E75" s="16" t="n">
        <v>208</v>
      </c>
    </row>
    <row r="76" customFormat="false" ht="15" hidden="false" customHeight="true" outlineLevel="0" collapsed="false">
      <c r="A76" s="15" t="n">
        <v>46150</v>
      </c>
      <c r="B76" s="26" t="n">
        <v>0</v>
      </c>
      <c r="C76" s="27" t="n">
        <v>0</v>
      </c>
      <c r="D76" s="16" t="n">
        <v>0</v>
      </c>
      <c r="E76" s="16" t="n">
        <v>208</v>
      </c>
    </row>
    <row r="77" customFormat="false" ht="15" hidden="false" customHeight="true" outlineLevel="0" collapsed="false">
      <c r="A77" s="15" t="n">
        <v>46151</v>
      </c>
      <c r="B77" s="26" t="n">
        <v>0.13</v>
      </c>
      <c r="C77" s="27" t="n">
        <v>0.0433333333333333</v>
      </c>
      <c r="D77" s="16" t="n">
        <v>0</v>
      </c>
      <c r="E77" s="16" t="n">
        <v>208</v>
      </c>
    </row>
    <row r="78" customFormat="false" ht="15" hidden="false" customHeight="true" outlineLevel="0" collapsed="false">
      <c r="A78" s="15" t="n">
        <v>46152</v>
      </c>
      <c r="B78" s="26" t="n">
        <v>0.6</v>
      </c>
      <c r="C78" s="27" t="n">
        <v>0.6</v>
      </c>
      <c r="D78" s="16" t="n">
        <v>0</v>
      </c>
      <c r="E78" s="16" t="n">
        <v>208</v>
      </c>
    </row>
    <row r="79" customFormat="false" ht="15" hidden="false" customHeight="true" outlineLevel="0" collapsed="false">
      <c r="A79" s="15" t="n">
        <v>46153</v>
      </c>
      <c r="B79" s="26" t="n">
        <v>0.43</v>
      </c>
      <c r="C79" s="27" t="n">
        <v>0.43</v>
      </c>
      <c r="D79" s="16" t="n">
        <v>0</v>
      </c>
      <c r="E79" s="16" t="n">
        <v>208</v>
      </c>
    </row>
    <row r="80" customFormat="false" ht="15" hidden="false" customHeight="true" outlineLevel="0" collapsed="false">
      <c r="A80" s="15" t="n">
        <v>46154</v>
      </c>
      <c r="B80" s="26" t="n">
        <v>0</v>
      </c>
      <c r="C80" s="27" t="n">
        <v>0</v>
      </c>
      <c r="D80" s="16" t="n">
        <v>0</v>
      </c>
      <c r="E80" s="16" t="n">
        <v>209</v>
      </c>
    </row>
    <row r="81" customFormat="false" ht="15" hidden="false" customHeight="true" outlineLevel="0" collapsed="false">
      <c r="A81" s="15" t="n">
        <v>46155</v>
      </c>
      <c r="B81" s="26" t="n">
        <v>0</v>
      </c>
      <c r="C81" s="27" t="n">
        <v>0</v>
      </c>
      <c r="D81" s="16" t="n">
        <v>0</v>
      </c>
      <c r="E81" s="16" t="n">
        <v>212</v>
      </c>
    </row>
    <row r="82" customFormat="false" ht="15" hidden="false" customHeight="true" outlineLevel="0" collapsed="false">
      <c r="A82" s="15" t="n">
        <v>46156</v>
      </c>
      <c r="B82" s="26" t="n">
        <v>0.59</v>
      </c>
      <c r="C82" s="27" t="n">
        <v>0.59</v>
      </c>
      <c r="D82" s="16" t="n">
        <v>0</v>
      </c>
      <c r="E82" s="16" t="n">
        <v>212</v>
      </c>
    </row>
    <row r="83" customFormat="false" ht="15" hidden="false" customHeight="true" outlineLevel="0" collapsed="false">
      <c r="A83" s="15" t="n">
        <v>46157</v>
      </c>
      <c r="B83" s="26" t="n">
        <v>0</v>
      </c>
      <c r="C83" s="27" t="n">
        <v>0</v>
      </c>
      <c r="D83" s="16" t="n">
        <v>0</v>
      </c>
      <c r="E83" s="16" t="n">
        <v>212</v>
      </c>
    </row>
    <row r="84" customFormat="false" ht="15" hidden="false" customHeight="true" outlineLevel="0" collapsed="false">
      <c r="A84" s="15" t="n">
        <v>46158</v>
      </c>
      <c r="B84" s="26" t="n">
        <v>0.87</v>
      </c>
      <c r="C84" s="27" t="n">
        <v>0.87</v>
      </c>
      <c r="D84" s="16" t="n">
        <v>0</v>
      </c>
      <c r="E84" s="16" t="n">
        <v>212</v>
      </c>
    </row>
    <row r="85" customFormat="false" ht="15" hidden="false" customHeight="true" outlineLevel="0" collapsed="false">
      <c r="A85" s="15" t="n">
        <v>46159</v>
      </c>
      <c r="B85" s="26" t="n">
        <v>1.63</v>
      </c>
      <c r="C85" s="27" t="n">
        <v>0.815</v>
      </c>
      <c r="D85" s="16" t="n">
        <v>0</v>
      </c>
      <c r="E85" s="16" t="n">
        <v>212</v>
      </c>
    </row>
    <row r="86" customFormat="false" ht="15" hidden="false" customHeight="true" outlineLevel="0" collapsed="false">
      <c r="A86" s="15" t="n">
        <v>46160</v>
      </c>
      <c r="B86" s="26" t="n">
        <v>0</v>
      </c>
      <c r="C86" s="27" t="n">
        <v>0</v>
      </c>
      <c r="D86" s="16" t="n">
        <v>0</v>
      </c>
      <c r="E86" s="16" t="n">
        <v>212</v>
      </c>
    </row>
    <row r="87" customFormat="false" ht="15" hidden="false" customHeight="true" outlineLevel="0" collapsed="false">
      <c r="A87" s="15" t="n">
        <v>46161</v>
      </c>
      <c r="B87" s="26" t="n">
        <v>1.24</v>
      </c>
      <c r="C87" s="27" t="n">
        <v>0.413333333333333</v>
      </c>
      <c r="D87" s="16" t="n">
        <v>0</v>
      </c>
      <c r="E87" s="16" t="n">
        <v>212</v>
      </c>
    </row>
    <row r="88" customFormat="false" ht="15" hidden="false" customHeight="true" outlineLevel="0" collapsed="false">
      <c r="A88" s="15" t="n">
        <v>46162</v>
      </c>
      <c r="B88" s="26" t="n">
        <v>0.3</v>
      </c>
      <c r="C88" s="27" t="n">
        <v>0.3</v>
      </c>
      <c r="D88" s="16" t="n">
        <v>0</v>
      </c>
      <c r="E88" s="16" t="n">
        <v>212</v>
      </c>
    </row>
    <row r="89" customFormat="false" ht="15" hidden="false" customHeight="true" outlineLevel="0" collapsed="false">
      <c r="A89" s="15" t="n">
        <v>46163</v>
      </c>
      <c r="B89" s="26" t="n">
        <v>0</v>
      </c>
      <c r="C89" s="27" t="n">
        <v>0</v>
      </c>
      <c r="D89" s="16" t="n">
        <v>0</v>
      </c>
      <c r="E89" s="16" t="n">
        <v>212</v>
      </c>
    </row>
    <row r="90" customFormat="false" ht="15" hidden="false" customHeight="true" outlineLevel="0" collapsed="false">
      <c r="A90" s="15" t="n">
        <v>46164</v>
      </c>
      <c r="B90" s="26" t="n">
        <v>1.03</v>
      </c>
      <c r="C90" s="27" t="n">
        <v>1.03</v>
      </c>
      <c r="D90" s="16" t="n">
        <v>0</v>
      </c>
      <c r="E90" s="16" t="n">
        <v>212</v>
      </c>
    </row>
    <row r="91" customFormat="false" ht="15" hidden="false" customHeight="true" outlineLevel="0" collapsed="false">
      <c r="A91" s="15" t="n">
        <v>46165</v>
      </c>
      <c r="B91" s="26" t="n">
        <v>0</v>
      </c>
      <c r="C91" s="27" t="n">
        <v>0</v>
      </c>
      <c r="D91" s="16" t="n">
        <v>0</v>
      </c>
      <c r="E91" s="16" t="n">
        <v>212</v>
      </c>
    </row>
    <row r="92" customFormat="false" ht="15" hidden="false" customHeight="true" outlineLevel="0" collapsed="false">
      <c r="A92" s="15" t="n">
        <v>46166</v>
      </c>
      <c r="B92" s="26" t="n">
        <v>2.55</v>
      </c>
      <c r="C92" s="27" t="n">
        <v>1.275</v>
      </c>
      <c r="D92" s="16" t="n">
        <v>0</v>
      </c>
      <c r="E92" s="16" t="n">
        <v>213</v>
      </c>
    </row>
    <row r="93" customFormat="false" ht="15" hidden="false" customHeight="true" outlineLevel="0" collapsed="false">
      <c r="A93" s="15" t="n">
        <v>46167</v>
      </c>
      <c r="B93" s="26" t="n">
        <v>13.79</v>
      </c>
      <c r="C93" s="27" t="n">
        <v>1.25363636363636</v>
      </c>
      <c r="D93" s="16" t="n">
        <v>0</v>
      </c>
      <c r="E93" s="16" t="n">
        <v>238</v>
      </c>
    </row>
    <row r="94" customFormat="false" ht="15" hidden="false" customHeight="true" outlineLevel="0" collapsed="false">
      <c r="A94" s="15" t="n">
        <v>46168</v>
      </c>
      <c r="B94" s="26" t="n">
        <v>11.08</v>
      </c>
      <c r="C94" s="27" t="n">
        <v>0.738666666666667</v>
      </c>
      <c r="D94" s="16" t="n">
        <v>0</v>
      </c>
      <c r="E94" s="16" t="n">
        <v>251</v>
      </c>
    </row>
    <row r="95" customFormat="false" ht="15" hidden="false" customHeight="true" outlineLevel="0" collapsed="false">
      <c r="A95" s="15" t="n">
        <v>46169</v>
      </c>
      <c r="B95" s="26" t="n">
        <v>17.58</v>
      </c>
      <c r="C95" s="27" t="n">
        <v>0.879</v>
      </c>
      <c r="D95" s="16" t="n">
        <v>0</v>
      </c>
      <c r="E95" s="16" t="n">
        <v>255</v>
      </c>
    </row>
    <row r="96" customFormat="false" ht="15" hidden="false" customHeight="true" outlineLevel="0" collapsed="false">
      <c r="A96" s="15" t="n">
        <v>46170</v>
      </c>
      <c r="B96" s="26" t="n">
        <v>4.99</v>
      </c>
      <c r="C96" s="27" t="n">
        <v>0.499</v>
      </c>
      <c r="D96" s="16" t="n">
        <v>0</v>
      </c>
      <c r="E96" s="16" t="n">
        <v>256</v>
      </c>
    </row>
    <row r="97" customFormat="false" ht="15" hidden="false" customHeight="true" outlineLevel="0" collapsed="false">
      <c r="A97" s="15" t="n">
        <v>46171</v>
      </c>
      <c r="B97" s="26" t="n">
        <v>7.86</v>
      </c>
      <c r="C97" s="27" t="n">
        <v>0.655</v>
      </c>
      <c r="D97" s="16" t="n">
        <v>0</v>
      </c>
      <c r="E97" s="16" t="n">
        <v>259</v>
      </c>
    </row>
    <row r="98" customFormat="false" ht="15" hidden="false" customHeight="true" outlineLevel="0" collapsed="false">
      <c r="A98" s="15" t="n">
        <v>46172</v>
      </c>
      <c r="B98" s="26" t="n">
        <v>1.79</v>
      </c>
      <c r="C98" s="27" t="n">
        <v>0.596666666666667</v>
      </c>
      <c r="D98" s="16" t="n">
        <v>0</v>
      </c>
      <c r="E98" s="16" t="n">
        <v>263</v>
      </c>
    </row>
    <row r="99" customFormat="false" ht="15" hidden="false" customHeight="true" outlineLevel="0" collapsed="false">
      <c r="A99" s="15" t="n">
        <v>46173</v>
      </c>
      <c r="B99" s="26" t="n">
        <v>6.93</v>
      </c>
      <c r="C99" s="27" t="n">
        <v>0.86625</v>
      </c>
      <c r="D99" s="16" t="n">
        <v>0</v>
      </c>
      <c r="E99" s="16" t="n">
        <v>265</v>
      </c>
    </row>
    <row r="100" customFormat="false" ht="15" hidden="false" customHeight="true" outlineLevel="0" collapsed="false">
      <c r="A100" s="15" t="n">
        <v>46174</v>
      </c>
      <c r="B100" s="26" t="n">
        <v>3.08</v>
      </c>
      <c r="C100" s="27" t="n">
        <v>0.513333333333333</v>
      </c>
      <c r="D100" s="16" t="n">
        <v>0</v>
      </c>
      <c r="E100" s="16" t="n">
        <v>265</v>
      </c>
    </row>
    <row r="101" customFormat="false" ht="15" hidden="false" customHeight="true" outlineLevel="0" collapsed="false">
      <c r="A101" s="15" t="n">
        <v>46175</v>
      </c>
      <c r="B101" s="26" t="n">
        <v>4.88</v>
      </c>
      <c r="C101" s="27" t="n">
        <v>0.488</v>
      </c>
      <c r="D101" s="16" t="n">
        <v>0</v>
      </c>
      <c r="E101" s="16" t="n">
        <v>266</v>
      </c>
    </row>
    <row r="102" customFormat="false" ht="15" hidden="false" customHeight="true" outlineLevel="0" collapsed="false">
      <c r="A102" s="15" t="n">
        <v>46176</v>
      </c>
      <c r="B102" s="26" t="n">
        <v>3.8</v>
      </c>
      <c r="C102" s="27" t="n">
        <v>0.475</v>
      </c>
      <c r="D102" s="16" t="n">
        <v>0</v>
      </c>
      <c r="E102" s="16" t="n">
        <v>269</v>
      </c>
    </row>
    <row r="103" customFormat="false" ht="15" hidden="false" customHeight="true" outlineLevel="0" collapsed="false">
      <c r="A103" s="15" t="n">
        <v>46177</v>
      </c>
      <c r="B103" s="26" t="n">
        <v>14.48</v>
      </c>
      <c r="C103" s="27" t="n">
        <v>0.762105263157895</v>
      </c>
      <c r="D103" s="16" t="n">
        <v>0</v>
      </c>
      <c r="E103" s="16" t="n">
        <v>271</v>
      </c>
    </row>
    <row r="104" customFormat="false" ht="15" hidden="false" customHeight="true" outlineLevel="0" collapsed="false">
      <c r="A104" s="15" t="n">
        <v>46178</v>
      </c>
      <c r="B104" s="26" t="n">
        <v>6.75</v>
      </c>
      <c r="C104" s="27" t="n">
        <v>0.75</v>
      </c>
      <c r="D104" s="16" t="n">
        <v>0</v>
      </c>
      <c r="E104" s="16" t="n">
        <v>272</v>
      </c>
    </row>
    <row r="105" customFormat="false" ht="15" hidden="false" customHeight="true" outlineLevel="0" collapsed="false">
      <c r="A105" s="15" t="n">
        <v>46179</v>
      </c>
      <c r="B105" s="26" t="n">
        <v>2.2</v>
      </c>
      <c r="C105" s="27" t="n">
        <v>0.314285714285714</v>
      </c>
      <c r="D105" s="16" t="n">
        <v>0</v>
      </c>
      <c r="E105" s="16" t="n">
        <v>272</v>
      </c>
    </row>
    <row r="106" customFormat="false" ht="15" hidden="false" customHeight="true" outlineLevel="0" collapsed="false">
      <c r="A106" s="15" t="n">
        <v>46180</v>
      </c>
      <c r="B106" s="26" t="n">
        <v>1.62</v>
      </c>
      <c r="C106" s="27" t="n">
        <v>0.324</v>
      </c>
      <c r="D106" s="16" t="n">
        <v>0</v>
      </c>
      <c r="E106" s="16" t="n">
        <v>272</v>
      </c>
    </row>
    <row r="107" customFormat="false" ht="15" hidden="false" customHeight="true" outlineLevel="0" collapsed="false">
      <c r="A107" s="15" t="n">
        <v>46181</v>
      </c>
      <c r="B107" s="26" t="n">
        <v>1.62</v>
      </c>
      <c r="C107" s="27" t="n">
        <v>0.54</v>
      </c>
      <c r="D107" s="16" t="n">
        <v>0</v>
      </c>
      <c r="E107" s="16" t="n">
        <v>274</v>
      </c>
    </row>
    <row r="108" customFormat="false" ht="15" hidden="false" customHeight="true" outlineLevel="0" collapsed="false">
      <c r="A108" s="15" t="n">
        <v>46182</v>
      </c>
      <c r="B108" s="26" t="n">
        <v>8.07</v>
      </c>
      <c r="C108" s="27" t="n">
        <v>0.896666666666667</v>
      </c>
      <c r="D108" s="16" t="n">
        <v>0</v>
      </c>
      <c r="E108" s="16" t="n">
        <v>274</v>
      </c>
    </row>
    <row r="109" customFormat="false" ht="15" hidden="false" customHeight="true" outlineLevel="0" collapsed="false">
      <c r="A109" s="15" t="n">
        <v>46183</v>
      </c>
      <c r="B109" s="26" t="n">
        <v>0.68</v>
      </c>
      <c r="C109" s="27" t="n">
        <v>0.226666666666667</v>
      </c>
      <c r="D109" s="16" t="n">
        <v>0</v>
      </c>
      <c r="E109" s="16" t="n">
        <v>276</v>
      </c>
    </row>
    <row r="110" customFormat="false" ht="15" hidden="false" customHeight="true" outlineLevel="0" collapsed="false">
      <c r="A110" s="15" t="n">
        <v>46184</v>
      </c>
      <c r="B110" s="26" t="n">
        <v>3.75</v>
      </c>
      <c r="C110" s="27" t="n">
        <v>0.9375</v>
      </c>
      <c r="D110" s="16" t="n">
        <v>0</v>
      </c>
      <c r="E110" s="16" t="n">
        <v>276</v>
      </c>
    </row>
    <row r="111" customFormat="false" ht="15" hidden="false" customHeight="true" outlineLevel="0" collapsed="false">
      <c r="A111" s="15" t="n">
        <v>46185</v>
      </c>
      <c r="B111" s="26" t="n">
        <v>1.25</v>
      </c>
      <c r="C111" s="27" t="n">
        <v>0.3125</v>
      </c>
      <c r="D111" s="16" t="n">
        <v>0</v>
      </c>
      <c r="E111" s="16" t="n">
        <v>276</v>
      </c>
    </row>
    <row r="112" customFormat="false" ht="15" hidden="false" customHeight="true" outlineLevel="0" collapsed="false">
      <c r="A112" s="15" t="n">
        <v>46186</v>
      </c>
      <c r="B112" s="26" t="n">
        <v>0.51</v>
      </c>
      <c r="C112" s="27" t="n">
        <v>0.51</v>
      </c>
      <c r="D112" s="16" t="n">
        <v>0</v>
      </c>
      <c r="E112" s="16" t="n">
        <v>277</v>
      </c>
    </row>
    <row r="113" customFormat="false" ht="15" hidden="false" customHeight="true" outlineLevel="0" collapsed="false">
      <c r="A113" s="15" t="n">
        <v>46187</v>
      </c>
      <c r="B113" s="26" t="n">
        <v>0.7</v>
      </c>
      <c r="C113" s="27" t="n">
        <v>0.7</v>
      </c>
      <c r="D113" s="16" t="n">
        <v>0</v>
      </c>
      <c r="E113" s="16" t="n">
        <v>277</v>
      </c>
    </row>
    <row r="114" customFormat="false" ht="15" hidden="false" customHeight="true" outlineLevel="0" collapsed="false">
      <c r="A114" s="15" t="n">
        <v>46188</v>
      </c>
      <c r="B114" s="26" t="n">
        <v>0</v>
      </c>
      <c r="C114" s="27" t="n">
        <v>0</v>
      </c>
      <c r="D114" s="16" t="n">
        <v>0</v>
      </c>
      <c r="E114" s="16" t="n">
        <v>277</v>
      </c>
    </row>
    <row r="115" customFormat="false" ht="15" hidden="false" customHeight="true" outlineLevel="0" collapsed="false">
      <c r="A115" s="15" t="n">
        <v>46189</v>
      </c>
      <c r="B115" s="26" t="n">
        <v>0</v>
      </c>
      <c r="C115" s="27" t="n">
        <v>0</v>
      </c>
      <c r="D115" s="16" t="n">
        <v>0</v>
      </c>
      <c r="E115" s="16" t="n">
        <v>277</v>
      </c>
    </row>
    <row r="116" customFormat="false" ht="15" hidden="false" customHeight="true" outlineLevel="0" collapsed="false">
      <c r="A116" s="15" t="n">
        <v>46190</v>
      </c>
      <c r="B116" s="26" t="n">
        <v>0</v>
      </c>
      <c r="C116" s="27" t="n">
        <v>0</v>
      </c>
      <c r="D116" s="16" t="n">
        <v>0</v>
      </c>
      <c r="E116" s="16" t="n">
        <v>277</v>
      </c>
    </row>
    <row r="117" customFormat="false" ht="15" hidden="false" customHeight="true" outlineLevel="0" collapsed="false">
      <c r="A117" s="15" t="n">
        <v>46191</v>
      </c>
      <c r="B117" s="26" t="n">
        <v>1.46</v>
      </c>
      <c r="C117" s="27" t="n">
        <v>0.73</v>
      </c>
      <c r="D117" s="16" t="n">
        <v>0</v>
      </c>
      <c r="E117" s="16" t="n">
        <v>277</v>
      </c>
    </row>
    <row r="118" customFormat="false" ht="15" hidden="false" customHeight="true" outlineLevel="0" collapsed="false">
      <c r="A118" s="15" t="n">
        <v>46192</v>
      </c>
      <c r="B118" s="26" t="n">
        <v>5.51</v>
      </c>
      <c r="C118" s="27" t="n">
        <v>0.551</v>
      </c>
      <c r="D118" s="16" t="n">
        <v>0</v>
      </c>
      <c r="E118" s="16" t="n">
        <v>277</v>
      </c>
    </row>
    <row r="119" customFormat="false" ht="15" hidden="false" customHeight="true" outlineLevel="0" collapsed="false">
      <c r="A119" s="15" t="n">
        <v>46193</v>
      </c>
      <c r="B119" s="26" t="n">
        <v>3.1</v>
      </c>
      <c r="C119" s="27" t="n">
        <v>0.3875</v>
      </c>
      <c r="D119" s="16" t="n">
        <v>0</v>
      </c>
      <c r="E119" s="16" t="n">
        <v>278</v>
      </c>
    </row>
    <row r="120" customFormat="false" ht="15" hidden="false" customHeight="true" outlineLevel="0" collapsed="false">
      <c r="A120" s="15" t="n">
        <v>46194</v>
      </c>
      <c r="B120" s="26" t="n">
        <v>3.08</v>
      </c>
      <c r="C120" s="27" t="n">
        <v>0.616</v>
      </c>
      <c r="D120" s="16" t="n">
        <v>0</v>
      </c>
      <c r="E120" s="16" t="n">
        <v>278</v>
      </c>
    </row>
    <row r="121" customFormat="false" ht="15" hidden="false" customHeight="true" outlineLevel="0" collapsed="false">
      <c r="A121" s="15" t="n">
        <v>46195</v>
      </c>
      <c r="B121" s="26" t="n">
        <v>1.69</v>
      </c>
      <c r="C121" s="27" t="n">
        <v>0.563333333333333</v>
      </c>
      <c r="D121" s="16" t="n">
        <v>0</v>
      </c>
      <c r="E121" s="16" t="n">
        <v>278</v>
      </c>
    </row>
    <row r="122" customFormat="false" ht="15" hidden="false" customHeight="true" outlineLevel="0" collapsed="false">
      <c r="A122" s="15" t="n">
        <v>46196</v>
      </c>
      <c r="B122" s="26" t="n">
        <v>2.13</v>
      </c>
      <c r="C122" s="27" t="n">
        <v>0.426</v>
      </c>
      <c r="D122" s="16" t="n">
        <v>0</v>
      </c>
      <c r="E122" s="16" t="n">
        <v>278</v>
      </c>
    </row>
    <row r="123" customFormat="false" ht="15" hidden="false" customHeight="true" outlineLevel="0" collapsed="false">
      <c r="A123" s="15" t="n">
        <v>46197</v>
      </c>
      <c r="B123" s="26" t="n">
        <v>4.61</v>
      </c>
      <c r="C123" s="27" t="n">
        <v>1.1525</v>
      </c>
      <c r="D123" s="16" t="n">
        <v>0</v>
      </c>
      <c r="E123" s="16" t="n">
        <v>278</v>
      </c>
    </row>
    <row r="124" customFormat="false" ht="15" hidden="false" customHeight="true" outlineLevel="0" collapsed="false">
      <c r="A124" s="15" t="n">
        <v>46198</v>
      </c>
      <c r="B124" s="26" t="n">
        <v>4.58</v>
      </c>
      <c r="C124" s="27" t="n">
        <v>0.654285714285714</v>
      </c>
      <c r="D124" s="16" t="n">
        <v>1</v>
      </c>
      <c r="E124" s="16" t="n">
        <v>279</v>
      </c>
    </row>
    <row r="125" customFormat="false" ht="15" hidden="false" customHeight="true" outlineLevel="0" collapsed="false">
      <c r="A125" s="15" t="n">
        <v>46199</v>
      </c>
      <c r="B125" s="26" t="n">
        <v>0.09</v>
      </c>
      <c r="C125" s="27" t="n">
        <v>0.045</v>
      </c>
      <c r="D125" s="16" t="n">
        <v>0</v>
      </c>
      <c r="E125" s="16" t="n">
        <v>279</v>
      </c>
    </row>
    <row r="126" customFormat="false" ht="15" hidden="false" customHeight="true" outlineLevel="0" collapsed="false">
      <c r="A126" s="15" t="n">
        <v>46200</v>
      </c>
      <c r="B126" s="26" t="n">
        <v>0.88</v>
      </c>
      <c r="C126" s="27" t="n">
        <v>0.88</v>
      </c>
      <c r="D126" s="16" t="n">
        <v>0</v>
      </c>
      <c r="E126" s="16" t="n">
        <v>279</v>
      </c>
    </row>
    <row r="127" customFormat="false" ht="15" hidden="false" customHeight="true" outlineLevel="0" collapsed="false">
      <c r="A127" s="15" t="n">
        <v>46201</v>
      </c>
      <c r="B127" s="26" t="n">
        <v>0.55</v>
      </c>
      <c r="C127" s="27" t="n">
        <v>0.55</v>
      </c>
      <c r="D127" s="16" t="n">
        <v>0</v>
      </c>
      <c r="E127" s="16" t="n">
        <v>279</v>
      </c>
    </row>
    <row r="128" customFormat="false" ht="15" hidden="false" customHeight="true" outlineLevel="0" collapsed="false">
      <c r="A128" s="15" t="n">
        <v>46202</v>
      </c>
      <c r="B128" s="26" t="n">
        <v>1.98</v>
      </c>
      <c r="C128" s="27" t="n">
        <v>0.396</v>
      </c>
      <c r="D128" s="16" t="n">
        <v>0</v>
      </c>
      <c r="E128" s="16" t="n">
        <v>280</v>
      </c>
    </row>
    <row r="129" customFormat="false" ht="15" hidden="false" customHeight="true" outlineLevel="0" collapsed="false">
      <c r="A129" s="15" t="n">
        <v>46203</v>
      </c>
      <c r="B129" s="26" t="n">
        <v>4.17</v>
      </c>
      <c r="C129" s="27" t="n">
        <v>0.3475</v>
      </c>
      <c r="D129" s="16" t="n">
        <v>0</v>
      </c>
      <c r="E129" s="16" t="n">
        <v>282</v>
      </c>
    </row>
    <row r="130" customFormat="false" ht="15" hidden="false" customHeight="true" outlineLevel="0" collapsed="false">
      <c r="A130" s="15" t="n">
        <v>46204</v>
      </c>
      <c r="B130" s="26" t="n">
        <v>5.4</v>
      </c>
      <c r="C130" s="27" t="n">
        <v>0.771428571428572</v>
      </c>
      <c r="D130" s="16" t="n">
        <v>0</v>
      </c>
      <c r="E130" s="16" t="n">
        <v>283</v>
      </c>
    </row>
    <row r="131" customFormat="false" ht="15" hidden="false" customHeight="true" outlineLevel="0" collapsed="false">
      <c r="A131" s="15" t="n">
        <v>46205</v>
      </c>
      <c r="B131" s="26" t="n">
        <v>5.64</v>
      </c>
      <c r="C131" s="27" t="n">
        <v>0.94</v>
      </c>
      <c r="D131" s="16" t="n">
        <v>0</v>
      </c>
      <c r="E131" s="16" t="n">
        <v>283</v>
      </c>
    </row>
    <row r="132" customFormat="false" ht="15" hidden="false" customHeight="true" outlineLevel="0" collapsed="false">
      <c r="A132" s="15" t="n">
        <v>46206</v>
      </c>
      <c r="B132" s="26" t="n">
        <v>0.21</v>
      </c>
      <c r="C132" s="27" t="n">
        <v>0.105</v>
      </c>
      <c r="D132" s="16" t="n">
        <v>0</v>
      </c>
      <c r="E132" s="16" t="n">
        <v>283</v>
      </c>
    </row>
    <row r="133" customFormat="false" ht="15" hidden="false" customHeight="true" outlineLevel="0" collapsed="false">
      <c r="A133" s="15" t="n">
        <v>46207</v>
      </c>
      <c r="B133" s="26" t="n">
        <v>0.99</v>
      </c>
      <c r="C133" s="27" t="n">
        <v>0.2475</v>
      </c>
      <c r="D133" s="16" t="n">
        <v>0</v>
      </c>
      <c r="E133" s="16" t="n">
        <v>283</v>
      </c>
    </row>
    <row r="134" customFormat="false" ht="15" hidden="false" customHeight="true" outlineLevel="0" collapsed="false">
      <c r="A134" s="15" t="n">
        <v>46208</v>
      </c>
      <c r="B134" s="26" t="n">
        <v>1.56</v>
      </c>
      <c r="C134" s="27" t="n">
        <v>0.312</v>
      </c>
      <c r="D134" s="16" t="n">
        <v>0</v>
      </c>
      <c r="E134" s="16" t="n">
        <v>284</v>
      </c>
    </row>
    <row r="135" customFormat="false" ht="15" hidden="false" customHeight="true" outlineLevel="0" collapsed="false">
      <c r="A135" s="15" t="n">
        <v>46209</v>
      </c>
      <c r="B135" s="26" t="n">
        <v>1.53</v>
      </c>
      <c r="C135" s="27" t="n">
        <v>0.3825</v>
      </c>
      <c r="D135" s="16" t="n">
        <v>0</v>
      </c>
      <c r="E135" s="16" t="n">
        <v>284</v>
      </c>
    </row>
    <row r="136" customFormat="false" ht="15" hidden="false" customHeight="true" outlineLevel="0" collapsed="false">
      <c r="A136" s="15" t="n">
        <v>46210</v>
      </c>
      <c r="B136" s="26" t="n">
        <v>1.79</v>
      </c>
      <c r="C136" s="27" t="n">
        <v>0.596666666666667</v>
      </c>
      <c r="D136" s="16" t="n">
        <v>0</v>
      </c>
      <c r="E136" s="16" t="n">
        <v>284</v>
      </c>
    </row>
    <row r="137" customFormat="false" ht="15" hidden="false" customHeight="true" outlineLevel="0" collapsed="false">
      <c r="A137" s="15" t="n">
        <v>46211</v>
      </c>
      <c r="B137" s="26" t="n">
        <v>3.53</v>
      </c>
      <c r="C137" s="27" t="n">
        <v>0.706</v>
      </c>
      <c r="D137" s="16" t="n">
        <v>0</v>
      </c>
      <c r="E137" s="16" t="n">
        <v>284</v>
      </c>
    </row>
    <row r="138" customFormat="false" ht="15" hidden="false" customHeight="true" outlineLevel="0" collapsed="false">
      <c r="A138" s="15" t="n">
        <v>46212</v>
      </c>
      <c r="B138" s="26" t="n">
        <v>3.61</v>
      </c>
      <c r="C138" s="27" t="n">
        <v>0.9025</v>
      </c>
      <c r="D138" s="16" t="n">
        <v>0</v>
      </c>
      <c r="E138" s="16" t="n">
        <v>284</v>
      </c>
    </row>
    <row r="139" customFormat="false" ht="15" hidden="false" customHeight="true" outlineLevel="0" collapsed="false">
      <c r="A139" s="15" t="n">
        <v>46213</v>
      </c>
      <c r="B139" s="26" t="n">
        <v>0.27</v>
      </c>
      <c r="C139" s="27" t="n">
        <v>0.135</v>
      </c>
      <c r="D139" s="16" t="n">
        <v>0</v>
      </c>
      <c r="E139" s="16" t="n">
        <v>284</v>
      </c>
    </row>
    <row r="140" customFormat="false" ht="15" hidden="false" customHeight="true" outlineLevel="0" collapsed="false">
      <c r="A140" s="15" t="n">
        <v>46214</v>
      </c>
      <c r="B140" s="26" t="n">
        <v>7.83</v>
      </c>
      <c r="C140" s="27" t="n">
        <v>1.305</v>
      </c>
      <c r="D140" s="16" t="n">
        <v>0</v>
      </c>
      <c r="E140" s="16" t="n">
        <v>284</v>
      </c>
    </row>
    <row r="141" customFormat="false" ht="15" hidden="false" customHeight="true" outlineLevel="0" collapsed="false">
      <c r="A141" s="15" t="n">
        <v>46215</v>
      </c>
      <c r="B141" s="26" t="n">
        <v>0.86</v>
      </c>
      <c r="C141" s="27" t="n">
        <v>0.86</v>
      </c>
      <c r="D141" s="16" t="n">
        <v>0</v>
      </c>
      <c r="E141" s="16" t="n">
        <v>283</v>
      </c>
    </row>
    <row r="142" customFormat="false" ht="15" hidden="false" customHeight="true" outlineLevel="0" collapsed="false">
      <c r="A142" s="15" t="n">
        <v>46216</v>
      </c>
      <c r="B142" s="26" t="n">
        <v>0.17</v>
      </c>
      <c r="C142" s="27" t="n">
        <v>0.17</v>
      </c>
      <c r="D142" s="16" t="n">
        <v>0</v>
      </c>
      <c r="E142" s="16" t="n">
        <v>283</v>
      </c>
    </row>
    <row r="143" customFormat="false" ht="15" hidden="false" customHeight="true" outlineLevel="0" collapsed="false">
      <c r="A143" s="15" t="n">
        <v>46217</v>
      </c>
      <c r="B143" s="26" t="n">
        <v>5.09</v>
      </c>
      <c r="C143" s="27" t="n">
        <v>2.545</v>
      </c>
      <c r="D143" s="16" t="n">
        <v>0</v>
      </c>
      <c r="E143" s="16" t="n">
        <v>283</v>
      </c>
    </row>
    <row r="144" customFormat="false" ht="15" hidden="false" customHeight="true" outlineLevel="0" collapsed="false">
      <c r="A144" s="15" t="n">
        <v>46218</v>
      </c>
      <c r="B144" s="26" t="n">
        <v>0</v>
      </c>
      <c r="C144" s="27" t="n">
        <v>0</v>
      </c>
      <c r="D144" s="16"/>
      <c r="E144" s="16"/>
    </row>
  </sheetData>
  <autoFilter ref="A1:E1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60"/>
    <col collapsed="false" customWidth="true" hidden="false" outlineLevel="0" max="2" min="2" style="14" width="18"/>
    <col collapsed="false" customWidth="true" hidden="false" outlineLevel="0" max="3" min="3" style="14" width="14"/>
    <col collapsed="false" customWidth="true" hidden="false" outlineLevel="0" max="4" min="4" style="14" width="40"/>
  </cols>
  <sheetData>
    <row r="1" customFormat="false" ht="26.25" hidden="false" customHeight="true" outlineLevel="0" collapsed="false">
      <c r="A1" s="3" t="s">
        <v>83</v>
      </c>
      <c r="B1" s="3" t="s">
        <v>84</v>
      </c>
      <c r="C1" s="3" t="s">
        <v>85</v>
      </c>
      <c r="D1" s="3" t="s">
        <v>86</v>
      </c>
    </row>
    <row r="2" customFormat="false" ht="15" hidden="false" customHeight="true" outlineLevel="0" collapsed="false">
      <c r="A2" s="28" t="s">
        <v>87</v>
      </c>
      <c r="B2" s="29" t="n">
        <v>0</v>
      </c>
      <c r="C2" s="15" t="n">
        <v>46076</v>
      </c>
      <c r="D2" s="28" t="s">
        <v>88</v>
      </c>
    </row>
    <row r="3" customFormat="false" ht="15" hidden="false" customHeight="true" outlineLevel="0" collapsed="false">
      <c r="A3" s="28" t="s">
        <v>89</v>
      </c>
      <c r="B3" s="29" t="n">
        <v>50</v>
      </c>
      <c r="C3" s="15" t="n">
        <v>46076</v>
      </c>
      <c r="D3" s="28" t="s">
        <v>90</v>
      </c>
    </row>
    <row r="4" customFormat="false" ht="15" hidden="false" customHeight="true" outlineLevel="0" collapsed="false">
      <c r="A4" s="28" t="s">
        <v>91</v>
      </c>
      <c r="B4" s="29" t="n">
        <v>53</v>
      </c>
      <c r="C4" s="15" t="n">
        <v>46076</v>
      </c>
      <c r="D4" s="28" t="s">
        <v>92</v>
      </c>
    </row>
    <row r="5" customFormat="false" ht="15" hidden="false" customHeight="true" outlineLevel="0" collapsed="false">
      <c r="A5" s="28" t="s">
        <v>93</v>
      </c>
      <c r="B5" s="29" t="n">
        <v>44</v>
      </c>
      <c r="C5" s="15" t="n">
        <v>46083</v>
      </c>
      <c r="D5" s="28" t="s">
        <v>94</v>
      </c>
    </row>
    <row r="6" customFormat="false" ht="15" hidden="false" customHeight="true" outlineLevel="0" collapsed="false">
      <c r="A6" s="28" t="s">
        <v>95</v>
      </c>
      <c r="B6" s="29" t="n">
        <v>56</v>
      </c>
      <c r="C6" s="15" t="n">
        <v>46090</v>
      </c>
      <c r="D6" s="28" t="s">
        <v>96</v>
      </c>
    </row>
    <row r="7" customFormat="false" ht="15" hidden="false" customHeight="true" outlineLevel="0" collapsed="false">
      <c r="A7" s="28" t="s">
        <v>97</v>
      </c>
      <c r="B7" s="29" t="n">
        <v>35</v>
      </c>
      <c r="C7" s="15" t="n">
        <v>46098</v>
      </c>
      <c r="D7" s="28" t="s">
        <v>98</v>
      </c>
    </row>
    <row r="8" customFormat="false" ht="15" hidden="false" customHeight="true" outlineLevel="0" collapsed="false">
      <c r="A8" s="28" t="s">
        <v>99</v>
      </c>
      <c r="B8" s="29" t="n">
        <v>45</v>
      </c>
      <c r="C8" s="15" t="n">
        <v>46168</v>
      </c>
      <c r="D8" s="28" t="s">
        <v>100</v>
      </c>
    </row>
    <row r="9" customFormat="false" ht="15" hidden="false" customHeight="true" outlineLevel="0" collapsed="false">
      <c r="A9" s="28" t="s">
        <v>101</v>
      </c>
      <c r="B9" s="29" t="n">
        <v>39</v>
      </c>
      <c r="C9" s="15" t="n">
        <v>46176</v>
      </c>
      <c r="D9" s="28" t="s">
        <v>102</v>
      </c>
    </row>
    <row r="10" customFormat="false" ht="15" hidden="false" customHeight="true" outlineLevel="0" collapsed="false">
      <c r="A10" s="28" t="s">
        <v>103</v>
      </c>
      <c r="B10" s="29" t="n">
        <v>46</v>
      </c>
      <c r="C10" s="15" t="n">
        <v>46192</v>
      </c>
      <c r="D10" s="28" t="s">
        <v>104</v>
      </c>
    </row>
    <row r="11" customFormat="false" ht="15" hidden="false" customHeight="true" outlineLevel="0" collapsed="false">
      <c r="A11" s="28" t="s">
        <v>105</v>
      </c>
      <c r="B11" s="29" t="n">
        <v>42</v>
      </c>
      <c r="C11" s="15" t="n">
        <v>46203</v>
      </c>
      <c r="D11" s="28" t="s">
        <v>106</v>
      </c>
    </row>
  </sheetData>
  <autoFilter ref="A1:D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14"/>
    <col collapsed="false" customWidth="true" hidden="false" outlineLevel="0" max="2" min="2" style="14" width="18"/>
  </cols>
  <sheetData>
    <row r="1" customFormat="false" ht="26.25" hidden="false" customHeight="true" outlineLevel="0" collapsed="false">
      <c r="A1" s="3" t="s">
        <v>107</v>
      </c>
      <c r="B1" s="3" t="s">
        <v>108</v>
      </c>
    </row>
    <row r="2" customFormat="false" ht="15" hidden="false" customHeight="true" outlineLevel="0" collapsed="false">
      <c r="A2" s="15" t="n">
        <v>46076</v>
      </c>
      <c r="B2" s="30" t="n">
        <v>37.83784</v>
      </c>
    </row>
    <row r="3" customFormat="false" ht="15" hidden="false" customHeight="true" outlineLevel="0" collapsed="false">
      <c r="A3" s="15" t="n">
        <v>46083</v>
      </c>
      <c r="B3" s="30" t="n">
        <v>30</v>
      </c>
    </row>
    <row r="4" customFormat="false" ht="15" hidden="false" customHeight="true" outlineLevel="0" collapsed="false">
      <c r="A4" s="15" t="n">
        <v>46090</v>
      </c>
      <c r="B4" s="30" t="n">
        <v>34.48276</v>
      </c>
    </row>
    <row r="5" customFormat="false" ht="15" hidden="false" customHeight="true" outlineLevel="0" collapsed="false">
      <c r="A5" s="15" t="n">
        <v>46097</v>
      </c>
      <c r="B5" s="30" t="n">
        <v>28</v>
      </c>
    </row>
    <row r="6" customFormat="false" ht="15" hidden="false" customHeight="true" outlineLevel="0" collapsed="false">
      <c r="A6" s="15" t="n">
        <v>46104</v>
      </c>
      <c r="B6" s="30" t="n">
        <v>14.285715</v>
      </c>
    </row>
    <row r="7" customFormat="false" ht="15" hidden="false" customHeight="true" outlineLevel="0" collapsed="false">
      <c r="A7" s="15" t="n">
        <v>46111</v>
      </c>
      <c r="B7" s="30" t="n">
        <v>21.052632</v>
      </c>
    </row>
    <row r="8" customFormat="false" ht="15" hidden="false" customHeight="true" outlineLevel="0" collapsed="false">
      <c r="A8" s="15" t="n">
        <v>46118</v>
      </c>
      <c r="B8" s="30" t="n">
        <v>25</v>
      </c>
    </row>
    <row r="9" customFormat="false" ht="15" hidden="false" customHeight="true" outlineLevel="0" collapsed="false">
      <c r="A9" s="15" t="n">
        <v>46125</v>
      </c>
      <c r="B9" s="30" t="n">
        <v>14.285715</v>
      </c>
    </row>
    <row r="10" customFormat="false" ht="15" hidden="false" customHeight="true" outlineLevel="0" collapsed="false">
      <c r="A10" s="15" t="n">
        <v>46132</v>
      </c>
      <c r="B10" s="30" t="n">
        <v>25</v>
      </c>
    </row>
    <row r="11" customFormat="false" ht="15" hidden="false" customHeight="true" outlineLevel="0" collapsed="false">
      <c r="A11" s="15" t="n">
        <v>46139</v>
      </c>
      <c r="B11" s="30" t="n">
        <v>22.222222</v>
      </c>
    </row>
    <row r="12" customFormat="false" ht="15" hidden="false" customHeight="true" outlineLevel="0" collapsed="false">
      <c r="A12" s="15" t="n">
        <v>46146</v>
      </c>
      <c r="B12" s="30" t="n">
        <v>8.3333336</v>
      </c>
    </row>
    <row r="13" customFormat="false" ht="15" hidden="false" customHeight="true" outlineLevel="0" collapsed="false">
      <c r="A13" s="15" t="n">
        <v>46153</v>
      </c>
      <c r="B13" s="30" t="n">
        <v>0</v>
      </c>
    </row>
    <row r="14" customFormat="false" ht="15" hidden="false" customHeight="true" outlineLevel="0" collapsed="false">
      <c r="A14" s="15" t="n">
        <v>46160</v>
      </c>
      <c r="B14" s="30" t="n">
        <v>20</v>
      </c>
    </row>
    <row r="15" customFormat="false" ht="15" hidden="false" customHeight="true" outlineLevel="0" collapsed="false">
      <c r="A15" s="15" t="n">
        <v>46167</v>
      </c>
      <c r="B15" s="30" t="n">
        <v>29.090908</v>
      </c>
    </row>
    <row r="16" customFormat="false" ht="15" hidden="false" customHeight="true" outlineLevel="0" collapsed="false">
      <c r="A16" s="15" t="n">
        <v>46174</v>
      </c>
      <c r="B16" s="30" t="n">
        <v>21.052632</v>
      </c>
    </row>
    <row r="17" customFormat="false" ht="15" hidden="false" customHeight="true" outlineLevel="0" collapsed="false">
      <c r="A17" s="15" t="n">
        <v>46181</v>
      </c>
      <c r="B17" s="30" t="n">
        <v>17.64706</v>
      </c>
    </row>
    <row r="18" customFormat="false" ht="15" hidden="false" customHeight="true" outlineLevel="0" collapsed="false">
      <c r="A18" s="15" t="n">
        <v>46188</v>
      </c>
      <c r="B18" s="30" t="n">
        <v>21.052632</v>
      </c>
    </row>
    <row r="19" customFormat="false" ht="15" hidden="false" customHeight="true" outlineLevel="0" collapsed="false">
      <c r="A19" s="15" t="n">
        <v>46195</v>
      </c>
      <c r="B19" s="30" t="n">
        <v>41.17647</v>
      </c>
    </row>
    <row r="20" customFormat="false" ht="15" hidden="false" customHeight="true" outlineLevel="0" collapsed="false">
      <c r="A20" s="15" t="n">
        <v>46202</v>
      </c>
      <c r="B20" s="30" t="n">
        <v>17.391305</v>
      </c>
    </row>
    <row r="21" customFormat="false" ht="15" hidden="false" customHeight="true" outlineLevel="0" collapsed="false">
      <c r="A21" s="15" t="n">
        <v>46209</v>
      </c>
      <c r="B21" s="30" t="n">
        <v>11.111111</v>
      </c>
    </row>
  </sheetData>
  <autoFilter ref="A1:B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12"/>
    <col collapsed="false" customWidth="true" hidden="false" outlineLevel="0" max="2" min="2" style="14" width="52"/>
    <col collapsed="false" customWidth="true" hidden="false" outlineLevel="0" max="3" min="3" style="14" width="14"/>
    <col collapsed="false" customWidth="true" hidden="false" outlineLevel="0" max="4" min="4" style="14" width="12"/>
    <col collapsed="false" customWidth="true" hidden="false" outlineLevel="0" max="5" min="5" style="14" width="11"/>
    <col collapsed="false" customWidth="true" hidden="false" outlineLevel="0" max="6" min="6" style="14" width="17"/>
    <col collapsed="false" customWidth="true" hidden="false" outlineLevel="0" max="7" min="7" style="14" width="10"/>
    <col collapsed="false" customWidth="true" hidden="false" outlineLevel="0" max="8" min="8" style="14" width="20"/>
  </cols>
  <sheetData>
    <row r="1" customFormat="false" ht="15.75" hidden="false" customHeight="true" outlineLevel="0" collapsed="false">
      <c r="A1" s="31" t="s">
        <v>109</v>
      </c>
    </row>
    <row r="2" customFormat="false" ht="15" hidden="false" customHeight="true" outlineLevel="0" collapsed="false">
      <c r="A2" s="32" t="s">
        <v>110</v>
      </c>
    </row>
    <row r="4" customFormat="false" ht="26.25" hidden="false" customHeight="true" outlineLevel="0" collapsed="false">
      <c r="A4" s="3" t="s">
        <v>111</v>
      </c>
      <c r="B4" s="3" t="s">
        <v>112</v>
      </c>
      <c r="C4" s="3" t="s">
        <v>113</v>
      </c>
      <c r="D4" s="3" t="s">
        <v>114</v>
      </c>
      <c r="E4" s="3" t="s">
        <v>115</v>
      </c>
      <c r="F4" s="3" t="s">
        <v>22</v>
      </c>
      <c r="G4" s="3" t="s">
        <v>116</v>
      </c>
      <c r="H4" s="3" t="s">
        <v>117</v>
      </c>
    </row>
    <row r="5" customFormat="false" ht="15" hidden="false" customHeight="true" outlineLevel="0" collapsed="false">
      <c r="A5" s="28" t="s">
        <v>118</v>
      </c>
      <c r="B5" s="28" t="s">
        <v>105</v>
      </c>
      <c r="C5" s="5" t="s">
        <v>119</v>
      </c>
      <c r="D5" s="5" t="s">
        <v>120</v>
      </c>
      <c r="E5" s="7" t="n">
        <v>115</v>
      </c>
      <c r="F5" s="7" t="n">
        <v>66</v>
      </c>
      <c r="G5" s="7" t="n">
        <v>692</v>
      </c>
      <c r="H5" s="19" t="n">
        <v>0.63</v>
      </c>
    </row>
    <row r="6" customFormat="false" ht="15" hidden="false" customHeight="true" outlineLevel="0" collapsed="false">
      <c r="A6" s="28" t="s">
        <v>121</v>
      </c>
      <c r="B6" s="28" t="s">
        <v>103</v>
      </c>
      <c r="C6" s="5" t="s">
        <v>122</v>
      </c>
      <c r="D6" s="5" t="s">
        <v>123</v>
      </c>
      <c r="E6" s="7" t="n">
        <v>119</v>
      </c>
      <c r="F6" s="7" t="n">
        <v>75</v>
      </c>
      <c r="G6" s="7" t="n">
        <v>530</v>
      </c>
      <c r="H6" s="19" t="n">
        <v>0.67</v>
      </c>
    </row>
    <row r="7" customFormat="false" ht="15" hidden="false" customHeight="true" outlineLevel="0" collapsed="false">
      <c r="A7" s="28" t="s">
        <v>124</v>
      </c>
      <c r="B7" s="28" t="s">
        <v>101</v>
      </c>
      <c r="C7" s="5" t="s">
        <v>125</v>
      </c>
      <c r="D7" s="5" t="s">
        <v>126</v>
      </c>
      <c r="E7" s="7" t="n">
        <v>151</v>
      </c>
      <c r="F7" s="7" t="n">
        <v>92</v>
      </c>
      <c r="G7" s="7" t="n">
        <v>784</v>
      </c>
      <c r="H7" s="19" t="n">
        <v>0.57</v>
      </c>
    </row>
    <row r="8" customFormat="false" ht="15" hidden="false" customHeight="true" outlineLevel="0" collapsed="false">
      <c r="A8" s="28" t="s">
        <v>127</v>
      </c>
      <c r="B8" s="28" t="s">
        <v>99</v>
      </c>
      <c r="C8" s="5" t="s">
        <v>128</v>
      </c>
      <c r="D8" s="5" t="s">
        <v>129</v>
      </c>
      <c r="E8" s="7" t="n">
        <v>167</v>
      </c>
      <c r="F8" s="7" t="n">
        <v>107</v>
      </c>
      <c r="G8" s="7" t="n">
        <v>863</v>
      </c>
      <c r="H8" s="19" t="n">
        <v>0.64</v>
      </c>
    </row>
    <row r="9" customFormat="false" ht="15" hidden="false" customHeight="true" outlineLevel="0" collapsed="false">
      <c r="A9" s="28" t="s">
        <v>130</v>
      </c>
      <c r="B9" s="28" t="s">
        <v>131</v>
      </c>
      <c r="C9" s="5" t="s">
        <v>132</v>
      </c>
      <c r="D9" s="5" t="s">
        <v>133</v>
      </c>
      <c r="E9" s="7" t="n">
        <v>222</v>
      </c>
      <c r="F9" s="7" t="n">
        <v>140</v>
      </c>
      <c r="G9" s="7" t="n">
        <v>1548</v>
      </c>
      <c r="H9" s="19" t="n">
        <v>0.64</v>
      </c>
    </row>
    <row r="10" customFormat="false" ht="15" hidden="false" customHeight="true" outlineLevel="0" collapsed="false">
      <c r="A10" s="28" t="s">
        <v>134</v>
      </c>
      <c r="B10" s="28" t="s">
        <v>95</v>
      </c>
      <c r="C10" s="5" t="s">
        <v>135</v>
      </c>
      <c r="D10" s="5" t="s">
        <v>136</v>
      </c>
      <c r="E10" s="7" t="n">
        <v>134</v>
      </c>
      <c r="F10" s="7" t="n">
        <v>84</v>
      </c>
      <c r="G10" s="7" t="n">
        <v>1027</v>
      </c>
      <c r="H10" s="19" t="n">
        <v>0.55</v>
      </c>
    </row>
    <row r="11" customFormat="false" ht="15" hidden="false" customHeight="true" outlineLevel="0" collapsed="false">
      <c r="A11" s="28" t="s">
        <v>137</v>
      </c>
      <c r="B11" s="28" t="s">
        <v>93</v>
      </c>
      <c r="C11" s="5" t="s">
        <v>138</v>
      </c>
      <c r="D11" s="5" t="s">
        <v>139</v>
      </c>
      <c r="E11" s="7" t="n">
        <v>138</v>
      </c>
      <c r="F11" s="7" t="n">
        <v>109</v>
      </c>
      <c r="G11" s="7" t="n">
        <v>1211</v>
      </c>
      <c r="H11" s="19" t="n">
        <v>0.69</v>
      </c>
    </row>
    <row r="12" customFormat="false" ht="15" hidden="false" customHeight="true" outlineLevel="0" collapsed="false">
      <c r="A12" s="28" t="s">
        <v>140</v>
      </c>
      <c r="B12" s="28" t="s">
        <v>141</v>
      </c>
      <c r="C12" s="5" t="s">
        <v>142</v>
      </c>
      <c r="D12" s="5" t="s">
        <v>143</v>
      </c>
      <c r="E12" s="7" t="n">
        <v>126</v>
      </c>
      <c r="F12" s="7" t="n">
        <v>91</v>
      </c>
      <c r="G12" s="7" t="n">
        <v>947</v>
      </c>
      <c r="H12" s="19" t="n">
        <v>0.74</v>
      </c>
    </row>
    <row r="13" customFormat="false" ht="15" hidden="false" customHeight="true" outlineLevel="0" collapsed="false">
      <c r="A13" s="28" t="s">
        <v>144</v>
      </c>
      <c r="B13" s="28" t="s">
        <v>91</v>
      </c>
      <c r="C13" s="5" t="s">
        <v>142</v>
      </c>
      <c r="D13" s="5" t="s">
        <v>145</v>
      </c>
      <c r="E13" s="7" t="n">
        <v>190</v>
      </c>
      <c r="F13" s="7" t="n">
        <v>143</v>
      </c>
      <c r="G13" s="7" t="n">
        <v>1464</v>
      </c>
      <c r="H13" s="19" t="n">
        <v>0.76</v>
      </c>
    </row>
    <row r="14" customFormat="false" ht="15" hidden="false" customHeight="true" outlineLevel="0" collapsed="false">
      <c r="A14" s="28" t="s">
        <v>146</v>
      </c>
      <c r="B14" s="28" t="s">
        <v>89</v>
      </c>
      <c r="C14" s="5" t="s">
        <v>142</v>
      </c>
      <c r="D14" s="5" t="s">
        <v>147</v>
      </c>
      <c r="E14" s="7" t="n">
        <v>237</v>
      </c>
      <c r="F14" s="7" t="n">
        <v>146</v>
      </c>
      <c r="G14" s="7" t="n">
        <v>1227</v>
      </c>
      <c r="H14" s="19" t="n">
        <v>0.64</v>
      </c>
    </row>
    <row r="15" customFormat="false" ht="15" hidden="false" customHeight="true" outlineLevel="0" collapsed="false">
      <c r="A15" s="28" t="s">
        <v>121</v>
      </c>
      <c r="B15" s="28" t="s">
        <v>87</v>
      </c>
      <c r="C15" s="5" t="s">
        <v>142</v>
      </c>
      <c r="D15" s="5" t="s">
        <v>148</v>
      </c>
      <c r="E15" s="7" t="n">
        <v>68</v>
      </c>
      <c r="F15" s="7" t="n">
        <v>59</v>
      </c>
      <c r="G15" s="7" t="n">
        <v>87</v>
      </c>
      <c r="H15" s="19" t="n">
        <v>0.9</v>
      </c>
    </row>
    <row r="16" customFormat="false" ht="15" hidden="false" customHeight="true" outlineLevel="0" collapsed="false">
      <c r="A16" s="33" t="s">
        <v>149</v>
      </c>
      <c r="B16" s="34"/>
      <c r="C16" s="34"/>
      <c r="D16" s="34"/>
      <c r="E16" s="35" t="s">
        <v>150</v>
      </c>
      <c r="F16" s="35" t="s">
        <v>150</v>
      </c>
      <c r="G16" s="21" t="n">
        <f aca="false">SUM(G5:G15)</f>
        <v>10380</v>
      </c>
      <c r="H16" s="34"/>
    </row>
  </sheetData>
  <autoFilter ref="A4:H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6"/>
    <col collapsed="false" customWidth="true" hidden="false" outlineLevel="0" max="2" min="2" style="14" width="12"/>
  </cols>
  <sheetData>
    <row r="1" customFormat="false" ht="15.75" hidden="false" customHeight="true" outlineLevel="0" collapsed="false">
      <c r="A1" s="31" t="s">
        <v>151</v>
      </c>
    </row>
    <row r="2" customFormat="false" ht="15" hidden="false" customHeight="true" outlineLevel="0" collapsed="false">
      <c r="A2" s="32" t="s">
        <v>152</v>
      </c>
    </row>
    <row r="4" customFormat="false" ht="15" hidden="false" customHeight="true" outlineLevel="0" collapsed="false">
      <c r="A4" s="3" t="s">
        <v>153</v>
      </c>
      <c r="B4" s="3" t="s">
        <v>115</v>
      </c>
    </row>
    <row r="5" customFormat="false" ht="15" hidden="false" customHeight="true" outlineLevel="0" collapsed="false">
      <c r="A5" s="33" t="s">
        <v>154</v>
      </c>
      <c r="B5" s="21" t="n">
        <v>587</v>
      </c>
    </row>
    <row r="6" customFormat="false" ht="15" hidden="false" customHeight="true" outlineLevel="0" collapsed="false">
      <c r="A6" s="28" t="s">
        <v>155</v>
      </c>
      <c r="B6" s="7" t="n">
        <v>120</v>
      </c>
    </row>
    <row r="7" customFormat="false" ht="15" hidden="false" customHeight="true" outlineLevel="0" collapsed="false">
      <c r="A7" s="28" t="s">
        <v>156</v>
      </c>
      <c r="B7" s="7" t="n">
        <v>86</v>
      </c>
    </row>
    <row r="8" customFormat="false" ht="15" hidden="false" customHeight="true" outlineLevel="0" collapsed="false">
      <c r="A8" s="28" t="s">
        <v>157</v>
      </c>
      <c r="B8" s="7" t="n">
        <v>63</v>
      </c>
    </row>
    <row r="9" customFormat="false" ht="15" hidden="false" customHeight="true" outlineLevel="0" collapsed="false">
      <c r="A9" s="28" t="s">
        <v>158</v>
      </c>
      <c r="B9" s="7" t="n">
        <v>57</v>
      </c>
    </row>
    <row r="10" customFormat="false" ht="15" hidden="false" customHeight="true" outlineLevel="0" collapsed="false">
      <c r="A10" s="28" t="s">
        <v>159</v>
      </c>
      <c r="B10" s="7" t="n">
        <v>32</v>
      </c>
    </row>
    <row r="11" customFormat="false" ht="15" hidden="false" customHeight="true" outlineLevel="0" collapsed="false">
      <c r="A11" s="28" t="s">
        <v>160</v>
      </c>
      <c r="B11" s="7" t="n">
        <v>30</v>
      </c>
    </row>
    <row r="12" customFormat="false" ht="15" hidden="false" customHeight="true" outlineLevel="0" collapsed="false">
      <c r="A12" s="28" t="s">
        <v>161</v>
      </c>
      <c r="B12" s="7" t="n">
        <v>20</v>
      </c>
    </row>
    <row r="13" customFormat="false" ht="15" hidden="false" customHeight="true" outlineLevel="0" collapsed="false">
      <c r="A13" s="28" t="s">
        <v>162</v>
      </c>
      <c r="B13" s="7" t="n">
        <v>20</v>
      </c>
    </row>
    <row r="14" customFormat="false" ht="15" hidden="false" customHeight="true" outlineLevel="0" collapsed="false">
      <c r="A14" s="28" t="s">
        <v>163</v>
      </c>
      <c r="B14" s="7" t="n">
        <v>19</v>
      </c>
    </row>
    <row r="15" customFormat="false" ht="15" hidden="false" customHeight="true" outlineLevel="0" collapsed="false">
      <c r="A15" s="28" t="s">
        <v>164</v>
      </c>
      <c r="B15" s="7" t="n">
        <v>18</v>
      </c>
    </row>
    <row r="16" customFormat="false" ht="15" hidden="false" customHeight="true" outlineLevel="0" collapsed="false">
      <c r="A16" s="28" t="s">
        <v>165</v>
      </c>
      <c r="B16" s="7" t="n">
        <v>17</v>
      </c>
    </row>
    <row r="17" customFormat="false" ht="15" hidden="false" customHeight="true" outlineLevel="0" collapsed="false">
      <c r="A17" s="28" t="s">
        <v>166</v>
      </c>
      <c r="B17" s="7" t="n">
        <v>14</v>
      </c>
    </row>
    <row r="18" customFormat="false" ht="15" hidden="false" customHeight="true" outlineLevel="0" collapsed="false">
      <c r="A18" s="28" t="s">
        <v>167</v>
      </c>
      <c r="B18" s="7" t="n">
        <v>13</v>
      </c>
    </row>
    <row r="19" customFormat="false" ht="15" hidden="false" customHeight="true" outlineLevel="0" collapsed="false">
      <c r="A19" s="28" t="s">
        <v>168</v>
      </c>
      <c r="B19" s="7" t="n">
        <v>12</v>
      </c>
    </row>
    <row r="20" customFormat="false" ht="15" hidden="false" customHeight="true" outlineLevel="0" collapsed="false">
      <c r="A20" s="28" t="s">
        <v>169</v>
      </c>
      <c r="B20" s="7" t="n">
        <v>12</v>
      </c>
    </row>
    <row r="21" customFormat="false" ht="15" hidden="false" customHeight="true" outlineLevel="0" collapsed="false">
      <c r="A21" s="28" t="s">
        <v>170</v>
      </c>
      <c r="B21" s="7" t="n">
        <v>12</v>
      </c>
    </row>
    <row r="22" customFormat="false" ht="15" hidden="false" customHeight="true" outlineLevel="0" collapsed="false">
      <c r="A22" s="28" t="s">
        <v>171</v>
      </c>
      <c r="B22" s="7" t="n">
        <v>11</v>
      </c>
    </row>
    <row r="23" customFormat="false" ht="15" hidden="false" customHeight="true" outlineLevel="0" collapsed="false">
      <c r="A23" s="28" t="s">
        <v>172</v>
      </c>
      <c r="B23" s="7" t="n">
        <v>11</v>
      </c>
    </row>
    <row r="24" customFormat="false" ht="15" hidden="false" customHeight="true" outlineLevel="0" collapsed="false">
      <c r="A24" s="28" t="s">
        <v>173</v>
      </c>
      <c r="B24" s="7" t="n">
        <v>11</v>
      </c>
    </row>
    <row r="25" customFormat="false" ht="15" hidden="false" customHeight="true" outlineLevel="0" collapsed="false">
      <c r="A25" s="28" t="s">
        <v>174</v>
      </c>
      <c r="B25" s="7" t="n">
        <v>9</v>
      </c>
    </row>
    <row r="26" customFormat="false" ht="15" hidden="false" customHeight="true" outlineLevel="0" collapsed="false">
      <c r="A26" s="28" t="s">
        <v>175</v>
      </c>
      <c r="B26" s="7" t="n">
        <v>9</v>
      </c>
    </row>
    <row r="27" customFormat="false" ht="15" hidden="false" customHeight="true" outlineLevel="0" collapsed="false">
      <c r="A27" s="28" t="s">
        <v>176</v>
      </c>
      <c r="B27" s="7" t="n">
        <v>8</v>
      </c>
    </row>
    <row r="28" customFormat="false" ht="15" hidden="false" customHeight="true" outlineLevel="0" collapsed="false">
      <c r="A28" s="28" t="s">
        <v>177</v>
      </c>
      <c r="B28" s="7" t="n">
        <v>7</v>
      </c>
    </row>
    <row r="29" customFormat="false" ht="15" hidden="false" customHeight="true" outlineLevel="0" collapsed="false">
      <c r="A29" s="28" t="s">
        <v>178</v>
      </c>
      <c r="B29" s="7" t="n">
        <v>7</v>
      </c>
    </row>
    <row r="30" customFormat="false" ht="15" hidden="false" customHeight="true" outlineLevel="0" collapsed="false">
      <c r="A30" s="28" t="s">
        <v>179</v>
      </c>
      <c r="B30" s="7" t="n">
        <v>7</v>
      </c>
    </row>
    <row r="31" customFormat="false" ht="15" hidden="false" customHeight="true" outlineLevel="0" collapsed="false">
      <c r="A31" s="28" t="s">
        <v>180</v>
      </c>
      <c r="B31" s="7" t="n">
        <v>6</v>
      </c>
    </row>
    <row r="32" customFormat="false" ht="15" hidden="false" customHeight="true" outlineLevel="0" collapsed="false">
      <c r="A32" s="28" t="s">
        <v>181</v>
      </c>
      <c r="B32" s="7" t="n">
        <v>6</v>
      </c>
    </row>
    <row r="33" customFormat="false" ht="15" hidden="false" customHeight="true" outlineLevel="0" collapsed="false">
      <c r="A33" s="28" t="s">
        <v>182</v>
      </c>
      <c r="B33" s="7" t="n">
        <v>6</v>
      </c>
    </row>
    <row r="34" customFormat="false" ht="15" hidden="false" customHeight="true" outlineLevel="0" collapsed="false">
      <c r="A34" s="28" t="s">
        <v>183</v>
      </c>
      <c r="B34" s="7" t="n">
        <v>6</v>
      </c>
    </row>
    <row r="35" customFormat="false" ht="15" hidden="false" customHeight="true" outlineLevel="0" collapsed="false">
      <c r="A35" s="28" t="s">
        <v>184</v>
      </c>
      <c r="B35" s="7" t="n">
        <v>5</v>
      </c>
    </row>
    <row r="36" customFormat="false" ht="15" hidden="false" customHeight="true" outlineLevel="0" collapsed="false">
      <c r="A36" s="28" t="s">
        <v>185</v>
      </c>
      <c r="B36" s="7" t="n">
        <v>5</v>
      </c>
    </row>
    <row r="37" customFormat="false" ht="15" hidden="false" customHeight="true" outlineLevel="0" collapsed="false">
      <c r="A37" s="28" t="s">
        <v>186</v>
      </c>
      <c r="B37" s="7" t="n">
        <v>5</v>
      </c>
    </row>
    <row r="38" customFormat="false" ht="15" hidden="false" customHeight="true" outlineLevel="0" collapsed="false">
      <c r="A38" s="28" t="s">
        <v>187</v>
      </c>
      <c r="B38" s="7" t="n">
        <v>5</v>
      </c>
    </row>
    <row r="39" customFormat="false" ht="15" hidden="false" customHeight="true" outlineLevel="0" collapsed="false">
      <c r="A39" s="28" t="s">
        <v>188</v>
      </c>
      <c r="B39" s="7" t="n">
        <v>5</v>
      </c>
    </row>
    <row r="40" customFormat="false" ht="15" hidden="false" customHeight="true" outlineLevel="0" collapsed="false">
      <c r="A40" s="28" t="s">
        <v>189</v>
      </c>
      <c r="B40" s="7" t="n">
        <v>5</v>
      </c>
    </row>
    <row r="41" customFormat="false" ht="15" hidden="false" customHeight="true" outlineLevel="0" collapsed="false">
      <c r="A41" s="28" t="s">
        <v>190</v>
      </c>
      <c r="B41" s="7" t="n">
        <v>5</v>
      </c>
    </row>
    <row r="42" customFormat="false" ht="15" hidden="false" customHeight="true" outlineLevel="0" collapsed="false">
      <c r="A42" s="32" t="s">
        <v>191</v>
      </c>
    </row>
  </sheetData>
  <autoFilter ref="A4:B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4" width="46"/>
    <col collapsed="false" customWidth="true" hidden="false" outlineLevel="0" max="2" min="2" style="14" width="10"/>
    <col collapsed="false" customWidth="true" hidden="false" outlineLevel="0" max="4" min="3" style="14" width="9"/>
    <col collapsed="false" customWidth="true" hidden="false" outlineLevel="0" max="5" min="5" style="14" width="15"/>
    <col collapsed="false" customWidth="true" hidden="false" outlineLevel="0" max="6" min="6" style="14" width="13"/>
    <col collapsed="false" customWidth="true" hidden="false" outlineLevel="0" max="7" min="7" style="14" width="12"/>
    <col collapsed="false" customWidth="true" hidden="false" outlineLevel="0" max="8" min="8" style="14" width="13"/>
    <col collapsed="false" customWidth="true" hidden="false" outlineLevel="0" max="9" min="9" style="14" width="11"/>
    <col collapsed="false" customWidth="true" hidden="false" outlineLevel="0" max="10" min="10" style="14" width="10"/>
  </cols>
  <sheetData>
    <row r="1" customFormat="false" ht="15.75" hidden="false" customHeight="true" outlineLevel="0" collapsed="false">
      <c r="A1" s="31" t="s">
        <v>192</v>
      </c>
    </row>
    <row r="2" customFormat="false" ht="15" hidden="false" customHeight="true" outlineLevel="0" collapsed="false">
      <c r="A2" s="32" t="s">
        <v>193</v>
      </c>
    </row>
    <row r="4" customFormat="false" ht="26.25" hidden="false" customHeight="true" outlineLevel="0" collapsed="false">
      <c r="A4" s="3" t="s">
        <v>194</v>
      </c>
      <c r="B4" s="3" t="s">
        <v>114</v>
      </c>
      <c r="C4" s="3" t="s">
        <v>195</v>
      </c>
      <c r="D4" s="3" t="s">
        <v>196</v>
      </c>
      <c r="E4" s="3" t="s">
        <v>197</v>
      </c>
      <c r="F4" s="3" t="s">
        <v>198</v>
      </c>
      <c r="G4" s="3" t="s">
        <v>199</v>
      </c>
      <c r="H4" s="3" t="s">
        <v>200</v>
      </c>
      <c r="I4" s="3" t="s">
        <v>30</v>
      </c>
      <c r="J4" s="3" t="s">
        <v>201</v>
      </c>
    </row>
    <row r="5" customFormat="false" ht="15" hidden="false" customHeight="true" outlineLevel="0" collapsed="false">
      <c r="A5" s="28" t="s">
        <v>202</v>
      </c>
      <c r="B5" s="5" t="s">
        <v>203</v>
      </c>
      <c r="C5" s="7" t="n">
        <v>1462</v>
      </c>
      <c r="D5" s="36" t="n">
        <v>0.194</v>
      </c>
      <c r="E5" s="10" t="n">
        <v>1.5</v>
      </c>
      <c r="F5" s="36" t="n">
        <v>0.006</v>
      </c>
      <c r="G5" s="7" t="n">
        <v>2</v>
      </c>
      <c r="H5" s="36" t="n">
        <v>0.011</v>
      </c>
      <c r="I5" s="7" t="n">
        <v>367</v>
      </c>
      <c r="J5" s="36" t="n">
        <v>0.035</v>
      </c>
    </row>
    <row r="6" customFormat="false" ht="15" hidden="false" customHeight="true" outlineLevel="0" collapsed="false">
      <c r="A6" s="28" t="s">
        <v>204</v>
      </c>
      <c r="B6" s="5" t="s">
        <v>205</v>
      </c>
      <c r="C6" s="7" t="n">
        <v>1395</v>
      </c>
      <c r="D6" s="36" t="n">
        <v>0.185</v>
      </c>
      <c r="E6" s="10" t="n">
        <v>7.6</v>
      </c>
      <c r="F6" s="36" t="n">
        <v>0.032</v>
      </c>
      <c r="G6" s="7" t="n">
        <v>4</v>
      </c>
      <c r="H6" s="36" t="n">
        <v>0.023</v>
      </c>
      <c r="I6" s="7" t="n">
        <v>410</v>
      </c>
      <c r="J6" s="36" t="n">
        <v>0.046</v>
      </c>
    </row>
    <row r="7" customFormat="false" ht="15" hidden="false" customHeight="true" outlineLevel="0" collapsed="false">
      <c r="A7" s="28" t="s">
        <v>206</v>
      </c>
      <c r="B7" s="5" t="s">
        <v>207</v>
      </c>
      <c r="C7" s="7" t="n">
        <v>1003</v>
      </c>
      <c r="D7" s="36" t="n">
        <v>0.133</v>
      </c>
      <c r="E7" s="10" t="n">
        <v>0.9</v>
      </c>
      <c r="F7" s="36" t="n">
        <v>0.004</v>
      </c>
      <c r="G7" s="7" t="n">
        <v>0</v>
      </c>
      <c r="H7" s="36" t="n">
        <v>0</v>
      </c>
      <c r="I7" s="7" t="n">
        <v>275</v>
      </c>
      <c r="J7" s="36" t="n">
        <v>0.033</v>
      </c>
    </row>
    <row r="8" customFormat="false" ht="15" hidden="false" customHeight="true" outlineLevel="0" collapsed="false">
      <c r="A8" s="28" t="s">
        <v>208</v>
      </c>
      <c r="B8" s="5" t="s">
        <v>209</v>
      </c>
      <c r="C8" s="7" t="n">
        <v>906</v>
      </c>
      <c r="D8" s="36" t="n">
        <v>0.12</v>
      </c>
      <c r="E8" s="10" t="n">
        <v>4.3</v>
      </c>
      <c r="F8" s="36" t="n">
        <v>0.018</v>
      </c>
      <c r="G8" s="7" t="n">
        <v>1</v>
      </c>
      <c r="H8" s="36" t="n">
        <v>0.006</v>
      </c>
      <c r="I8" s="7" t="n">
        <v>201</v>
      </c>
      <c r="J8" s="36" t="n">
        <v>0.04</v>
      </c>
    </row>
    <row r="9" customFormat="false" ht="15" hidden="false" customHeight="true" outlineLevel="0" collapsed="false">
      <c r="A9" s="28" t="s">
        <v>210</v>
      </c>
      <c r="B9" s="5" t="s">
        <v>211</v>
      </c>
      <c r="C9" s="7" t="n">
        <v>858</v>
      </c>
      <c r="D9" s="36" t="n">
        <v>0.114</v>
      </c>
      <c r="E9" s="10" t="n">
        <v>9.7</v>
      </c>
      <c r="F9" s="36" t="n">
        <v>0.04</v>
      </c>
      <c r="G9" s="7" t="n">
        <v>1</v>
      </c>
      <c r="H9" s="36" t="n">
        <v>0.006</v>
      </c>
      <c r="I9" s="7" t="n">
        <v>120</v>
      </c>
      <c r="J9" s="36" t="n">
        <v>0.042</v>
      </c>
    </row>
    <row r="10" customFormat="false" ht="15" hidden="false" customHeight="true" outlineLevel="0" collapsed="false">
      <c r="A10" s="28" t="s">
        <v>212</v>
      </c>
      <c r="B10" s="5" t="s">
        <v>213</v>
      </c>
      <c r="C10" s="7" t="n">
        <v>399</v>
      </c>
      <c r="D10" s="36" t="n">
        <v>0.053</v>
      </c>
      <c r="E10" s="10" t="n">
        <v>0.8</v>
      </c>
      <c r="F10" s="36" t="n">
        <v>0.003</v>
      </c>
      <c r="G10" s="7" t="n">
        <v>0</v>
      </c>
      <c r="H10" s="36" t="n">
        <v>0</v>
      </c>
      <c r="I10" s="7" t="n">
        <v>158</v>
      </c>
      <c r="J10" s="36" t="n">
        <v>0.044</v>
      </c>
    </row>
    <row r="11" customFormat="false" ht="15" hidden="false" customHeight="true" outlineLevel="0" collapsed="false">
      <c r="A11" s="28" t="s">
        <v>89</v>
      </c>
      <c r="B11" s="5" t="s">
        <v>214</v>
      </c>
      <c r="C11" s="7" t="n">
        <v>236</v>
      </c>
      <c r="D11" s="36" t="n">
        <v>0.031</v>
      </c>
      <c r="E11" s="10" t="n">
        <v>30.7</v>
      </c>
      <c r="F11" s="36" t="n">
        <v>0.127</v>
      </c>
      <c r="G11" s="7" t="n">
        <v>23</v>
      </c>
      <c r="H11" s="36" t="n">
        <v>0.129</v>
      </c>
      <c r="I11" s="7" t="n">
        <v>2471</v>
      </c>
      <c r="J11" s="36" t="n">
        <v>0.063</v>
      </c>
    </row>
    <row r="12" customFormat="false" ht="15" hidden="false" customHeight="true" outlineLevel="0" collapsed="false">
      <c r="A12" s="28" t="s">
        <v>215</v>
      </c>
      <c r="B12" s="5" t="s">
        <v>216</v>
      </c>
      <c r="C12" s="7" t="n">
        <v>221</v>
      </c>
      <c r="D12" s="36" t="n">
        <v>0.029</v>
      </c>
      <c r="E12" s="10" t="n">
        <v>0.3</v>
      </c>
      <c r="F12" s="36" t="n">
        <v>0.001</v>
      </c>
      <c r="G12" s="7" t="n">
        <v>1</v>
      </c>
      <c r="H12" s="36" t="n">
        <v>0.006</v>
      </c>
      <c r="I12" s="7" t="n">
        <v>120</v>
      </c>
      <c r="J12" s="36" t="n">
        <v>0.083</v>
      </c>
    </row>
    <row r="13" customFormat="false" ht="15" hidden="false" customHeight="true" outlineLevel="0" collapsed="false">
      <c r="A13" s="28" t="s">
        <v>217</v>
      </c>
      <c r="B13" s="5" t="s">
        <v>218</v>
      </c>
      <c r="C13" s="7" t="n">
        <v>151</v>
      </c>
      <c r="D13" s="36" t="n">
        <v>0.02</v>
      </c>
      <c r="E13" s="10" t="n">
        <v>45.6</v>
      </c>
      <c r="F13" s="36" t="n">
        <v>0.189</v>
      </c>
      <c r="G13" s="7" t="n">
        <v>3</v>
      </c>
      <c r="H13" s="36" t="n">
        <v>0.017</v>
      </c>
      <c r="I13" s="7" t="n">
        <v>1331</v>
      </c>
      <c r="J13" s="36" t="n">
        <v>0.063</v>
      </c>
    </row>
    <row r="14" customFormat="false" ht="15" hidden="false" customHeight="true" outlineLevel="0" collapsed="false">
      <c r="A14" s="28" t="s">
        <v>131</v>
      </c>
      <c r="B14" s="5" t="s">
        <v>219</v>
      </c>
      <c r="C14" s="7" t="n">
        <v>150</v>
      </c>
      <c r="D14" s="36" t="n">
        <v>0.02</v>
      </c>
      <c r="E14" s="10" t="n">
        <v>40</v>
      </c>
      <c r="F14" s="36" t="n">
        <v>0.166</v>
      </c>
      <c r="G14" s="7" t="n">
        <v>7</v>
      </c>
      <c r="H14" s="36" t="n">
        <v>0.039</v>
      </c>
      <c r="I14" s="7" t="n">
        <v>1158</v>
      </c>
      <c r="J14" s="36" t="n">
        <v>0.079</v>
      </c>
    </row>
    <row r="15" customFormat="false" ht="15" hidden="false" customHeight="true" outlineLevel="0" collapsed="false">
      <c r="A15" s="28" t="s">
        <v>220</v>
      </c>
      <c r="B15" s="5" t="s">
        <v>221</v>
      </c>
      <c r="C15" s="7" t="n">
        <v>122</v>
      </c>
      <c r="D15" s="36" t="n">
        <v>0.016</v>
      </c>
      <c r="E15" s="10" t="n">
        <v>0.1</v>
      </c>
      <c r="F15" s="36" t="n">
        <v>0</v>
      </c>
      <c r="G15" s="7" t="n">
        <v>0</v>
      </c>
      <c r="H15" s="36" t="n">
        <v>0</v>
      </c>
      <c r="I15" s="7" t="n">
        <v>345</v>
      </c>
      <c r="J15" s="36" t="n">
        <v>0.02</v>
      </c>
    </row>
    <row r="16" customFormat="false" ht="15" hidden="false" customHeight="true" outlineLevel="0" collapsed="false">
      <c r="A16" s="28" t="s">
        <v>222</v>
      </c>
      <c r="B16" s="5" t="s">
        <v>223</v>
      </c>
      <c r="C16" s="7" t="n">
        <v>118</v>
      </c>
      <c r="D16" s="36" t="n">
        <v>0.016</v>
      </c>
      <c r="E16" s="10" t="n">
        <v>11.8</v>
      </c>
      <c r="F16" s="36" t="n">
        <v>0.049</v>
      </c>
      <c r="G16" s="7" t="n">
        <v>3</v>
      </c>
      <c r="H16" s="36" t="n">
        <v>0.017</v>
      </c>
      <c r="I16" s="7" t="n">
        <v>4308</v>
      </c>
      <c r="J16" s="36" t="n">
        <v>0.017</v>
      </c>
    </row>
    <row r="17" customFormat="false" ht="15" hidden="false" customHeight="true" outlineLevel="0" collapsed="false">
      <c r="A17" s="28" t="s">
        <v>99</v>
      </c>
      <c r="B17" s="5" t="s">
        <v>224</v>
      </c>
      <c r="C17" s="7" t="n">
        <v>102</v>
      </c>
      <c r="D17" s="36" t="n">
        <v>0.014</v>
      </c>
      <c r="E17" s="10" t="n">
        <v>18.1</v>
      </c>
      <c r="F17" s="36" t="n">
        <v>0.075</v>
      </c>
      <c r="G17" s="7" t="n">
        <v>3</v>
      </c>
      <c r="H17" s="36" t="n">
        <v>0.017</v>
      </c>
      <c r="I17" s="7" t="n">
        <v>1594</v>
      </c>
      <c r="J17" s="36" t="n">
        <v>0.039</v>
      </c>
    </row>
    <row r="18" customFormat="false" ht="15" hidden="false" customHeight="true" outlineLevel="0" collapsed="false">
      <c r="A18" s="28" t="s">
        <v>87</v>
      </c>
      <c r="B18" s="5" t="s">
        <v>225</v>
      </c>
      <c r="C18" s="7" t="n">
        <v>96</v>
      </c>
      <c r="D18" s="36" t="n">
        <v>0.013</v>
      </c>
      <c r="E18" s="10" t="n">
        <v>0.5</v>
      </c>
      <c r="F18" s="36" t="n">
        <v>0.002</v>
      </c>
      <c r="G18" s="7" t="n">
        <v>9</v>
      </c>
      <c r="H18" s="36" t="n">
        <v>0.051</v>
      </c>
      <c r="I18" s="7" t="n">
        <v>550</v>
      </c>
      <c r="J18" s="36" t="n">
        <v>0.047</v>
      </c>
    </row>
    <row r="19" customFormat="false" ht="15" hidden="false" customHeight="true" outlineLevel="0" collapsed="false">
      <c r="A19" s="28" t="s">
        <v>226</v>
      </c>
      <c r="B19" s="5" t="s">
        <v>227</v>
      </c>
      <c r="C19" s="7" t="n">
        <v>85</v>
      </c>
      <c r="D19" s="36" t="n">
        <v>0.011</v>
      </c>
      <c r="E19" s="10" t="n">
        <v>21.3</v>
      </c>
      <c r="F19" s="36" t="n">
        <v>0.088</v>
      </c>
      <c r="G19" s="7" t="n">
        <v>0</v>
      </c>
      <c r="H19" s="36" t="n">
        <v>0</v>
      </c>
      <c r="I19" s="7" t="n">
        <v>814</v>
      </c>
      <c r="J19" s="36" t="n">
        <v>0.048</v>
      </c>
    </row>
    <row r="20" customFormat="false" ht="15" hidden="false" customHeight="true" outlineLevel="0" collapsed="false">
      <c r="A20" s="28" t="s">
        <v>228</v>
      </c>
      <c r="B20" s="5" t="s">
        <v>229</v>
      </c>
      <c r="C20" s="7" t="n">
        <v>71</v>
      </c>
      <c r="D20" s="36" t="n">
        <v>0.009</v>
      </c>
      <c r="E20" s="10" t="n">
        <v>14.2</v>
      </c>
      <c r="F20" s="36" t="n">
        <v>0.059</v>
      </c>
      <c r="G20" s="7" t="n">
        <v>1</v>
      </c>
      <c r="H20" s="36" t="n">
        <v>0.006</v>
      </c>
      <c r="I20" s="7" t="n">
        <v>1193</v>
      </c>
      <c r="J20" s="36" t="n">
        <v>0.038</v>
      </c>
    </row>
    <row r="21" customFormat="false" ht="15" hidden="false" customHeight="true" outlineLevel="0" collapsed="false">
      <c r="A21" s="28" t="s">
        <v>230</v>
      </c>
      <c r="B21" s="5" t="s">
        <v>231</v>
      </c>
      <c r="C21" s="7" t="n">
        <v>55</v>
      </c>
      <c r="D21" s="36" t="n">
        <v>0.007</v>
      </c>
      <c r="E21" s="10" t="n">
        <v>14.9</v>
      </c>
      <c r="F21" s="36" t="n">
        <v>0.062</v>
      </c>
      <c r="G21" s="7" t="n">
        <v>1</v>
      </c>
      <c r="H21" s="36" t="n">
        <v>0.006</v>
      </c>
      <c r="I21" s="7" t="n">
        <v>735</v>
      </c>
      <c r="J21" s="36" t="n">
        <v>0.042</v>
      </c>
    </row>
    <row r="22" customFormat="false" ht="15" hidden="false" customHeight="true" outlineLevel="0" collapsed="false">
      <c r="A22" s="28" t="s">
        <v>232</v>
      </c>
      <c r="B22" s="5" t="s">
        <v>233</v>
      </c>
      <c r="C22" s="7" t="n">
        <v>50</v>
      </c>
      <c r="D22" s="36" t="n">
        <v>0.007</v>
      </c>
      <c r="E22" s="10" t="n">
        <v>14.4</v>
      </c>
      <c r="F22" s="36" t="n">
        <v>0.059</v>
      </c>
      <c r="G22" s="7" t="n">
        <v>0</v>
      </c>
      <c r="H22" s="36" t="n">
        <v>0</v>
      </c>
      <c r="I22" s="7" t="n">
        <v>959</v>
      </c>
      <c r="J22" s="36" t="n">
        <v>0.033</v>
      </c>
    </row>
    <row r="23" customFormat="false" ht="15" hidden="false" customHeight="true" outlineLevel="0" collapsed="false">
      <c r="A23" s="28" t="s">
        <v>234</v>
      </c>
      <c r="B23" s="5" t="s">
        <v>235</v>
      </c>
      <c r="C23" s="7" t="n">
        <v>11</v>
      </c>
      <c r="D23" s="36" t="n">
        <v>0.002</v>
      </c>
      <c r="E23" s="10" t="n">
        <v>4.5</v>
      </c>
      <c r="F23" s="36" t="n">
        <v>0.019</v>
      </c>
      <c r="G23" s="7" t="n">
        <v>0</v>
      </c>
      <c r="H23" s="36" t="n">
        <v>0</v>
      </c>
      <c r="I23" s="7" t="n">
        <v>133</v>
      </c>
      <c r="J23" s="36" t="n">
        <v>0.045</v>
      </c>
    </row>
    <row r="24" customFormat="false" ht="15" hidden="false" customHeight="true" outlineLevel="0" collapsed="false">
      <c r="A24" s="33" t="s">
        <v>236</v>
      </c>
      <c r="B24" s="34"/>
      <c r="C24" s="21" t="n">
        <f aca="false">SUM(C5:C23)</f>
        <v>7491</v>
      </c>
      <c r="D24" s="34"/>
      <c r="E24" s="37" t="n">
        <f aca="false">SUM(E5:E23)</f>
        <v>241.2</v>
      </c>
      <c r="F24" s="34"/>
      <c r="G24" s="21" t="n">
        <f aca="false">SUM(G5:G23)</f>
        <v>59</v>
      </c>
      <c r="H24" s="34"/>
      <c r="I24" s="21" t="n">
        <f aca="false">SUM(I5:I23)</f>
        <v>17242</v>
      </c>
      <c r="J24" s="34"/>
    </row>
    <row r="25" customFormat="false" ht="15" hidden="false" customHeight="true" outlineLevel="0" collapsed="false">
      <c r="A25" s="33" t="s">
        <v>237</v>
      </c>
      <c r="B25" s="34"/>
      <c r="C25" s="21" t="n">
        <v>7543</v>
      </c>
      <c r="D25" s="34"/>
      <c r="E25" s="37" t="n">
        <v>241.5</v>
      </c>
      <c r="F25" s="34"/>
      <c r="G25" s="21" t="n">
        <v>178</v>
      </c>
      <c r="H25" s="34"/>
      <c r="I25" s="21" t="n">
        <v>17427</v>
      </c>
      <c r="J25" s="38" t="n">
        <v>0.042</v>
      </c>
    </row>
  </sheetData>
  <autoFilter ref="A4:J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24"/>
    <col collapsed="false" customWidth="true" hidden="false" outlineLevel="0" max="2" min="2" style="14" width="12"/>
    <col collapsed="false" customWidth="true" hidden="false" outlineLevel="0" max="3" min="3" style="14" width="10"/>
    <col collapsed="false" customWidth="true" hidden="false" outlineLevel="0" max="5" min="4" style="14" width="9"/>
    <col collapsed="false" customWidth="true" hidden="false" outlineLevel="0" max="6" min="6" style="14" width="17"/>
    <col collapsed="false" customWidth="true" hidden="false" outlineLevel="0" max="7" min="7" style="14" width="15"/>
    <col collapsed="false" customWidth="true" hidden="false" outlineLevel="0" max="8" min="8" style="14" width="13"/>
  </cols>
  <sheetData>
    <row r="1" customFormat="false" ht="15.75" hidden="false" customHeight="true" outlineLevel="0" collapsed="false">
      <c r="A1" s="31" t="s">
        <v>238</v>
      </c>
    </row>
    <row r="2" customFormat="false" ht="15" hidden="false" customHeight="true" outlineLevel="0" collapsed="false">
      <c r="A2" s="32" t="s">
        <v>239</v>
      </c>
    </row>
    <row r="4" customFormat="false" ht="26.25" hidden="false" customHeight="true" outlineLevel="0" collapsed="false">
      <c r="A4" s="3" t="s">
        <v>240</v>
      </c>
      <c r="B4" s="3" t="s">
        <v>30</v>
      </c>
      <c r="C4" s="3" t="s">
        <v>201</v>
      </c>
      <c r="D4" s="3" t="s">
        <v>195</v>
      </c>
      <c r="E4" s="3" t="s">
        <v>196</v>
      </c>
      <c r="F4" s="3" t="s">
        <v>241</v>
      </c>
      <c r="G4" s="3" t="s">
        <v>197</v>
      </c>
      <c r="H4" s="3" t="s">
        <v>198</v>
      </c>
    </row>
    <row r="5" customFormat="false" ht="15" hidden="false" customHeight="true" outlineLevel="0" collapsed="false">
      <c r="A5" s="33" t="s">
        <v>74</v>
      </c>
      <c r="B5" s="21" t="n">
        <v>17427</v>
      </c>
      <c r="C5" s="38" t="n">
        <v>0.042</v>
      </c>
      <c r="D5" s="21" t="n">
        <v>7543</v>
      </c>
      <c r="E5" s="35" t="s">
        <v>11</v>
      </c>
      <c r="F5" s="35" t="s">
        <v>242</v>
      </c>
      <c r="G5" s="37" t="n">
        <v>241.5</v>
      </c>
      <c r="H5" s="35" t="s">
        <v>11</v>
      </c>
    </row>
    <row r="6" customFormat="false" ht="15" hidden="false" customHeight="true" outlineLevel="0" collapsed="false">
      <c r="A6" s="28" t="s">
        <v>243</v>
      </c>
      <c r="B6" s="5" t="s">
        <v>11</v>
      </c>
      <c r="C6" s="5" t="s">
        <v>11</v>
      </c>
      <c r="D6" s="7" t="n">
        <v>5952</v>
      </c>
      <c r="E6" s="36" t="n">
        <v>0.789</v>
      </c>
      <c r="F6" s="5" t="s">
        <v>244</v>
      </c>
      <c r="G6" s="10" t="n">
        <v>22.7</v>
      </c>
      <c r="H6" s="36" t="n">
        <v>0.094</v>
      </c>
    </row>
    <row r="7" customFormat="false" ht="15" hidden="false" customHeight="true" outlineLevel="0" collapsed="false">
      <c r="A7" s="28" t="s">
        <v>245</v>
      </c>
      <c r="B7" s="7" t="n">
        <v>3451</v>
      </c>
      <c r="C7" s="36" t="n">
        <v>0.09</v>
      </c>
      <c r="D7" s="7" t="n">
        <v>457</v>
      </c>
      <c r="E7" s="36" t="n">
        <v>0.061</v>
      </c>
      <c r="F7" s="5" t="s">
        <v>246</v>
      </c>
      <c r="G7" s="10" t="n">
        <v>97</v>
      </c>
      <c r="H7" s="36" t="n">
        <v>0.402</v>
      </c>
    </row>
    <row r="8" customFormat="false" ht="15" hidden="false" customHeight="true" outlineLevel="0" collapsed="false">
      <c r="A8" s="28" t="s">
        <v>247</v>
      </c>
      <c r="B8" s="7" t="n">
        <v>2066</v>
      </c>
      <c r="C8" s="36" t="n">
        <v>0.077</v>
      </c>
      <c r="D8" s="7" t="n">
        <v>250</v>
      </c>
      <c r="E8" s="36" t="n">
        <v>0.033</v>
      </c>
      <c r="F8" s="5" t="s">
        <v>248</v>
      </c>
      <c r="G8" s="10" t="n">
        <v>11.8</v>
      </c>
      <c r="H8" s="36" t="n">
        <v>0.049</v>
      </c>
    </row>
    <row r="9" customFormat="false" ht="15" hidden="false" customHeight="true" outlineLevel="0" collapsed="false">
      <c r="A9" s="28" t="s">
        <v>249</v>
      </c>
      <c r="B9" s="5" t="s">
        <v>11</v>
      </c>
      <c r="C9" s="5" t="s">
        <v>11</v>
      </c>
      <c r="D9" s="7" t="n">
        <v>229</v>
      </c>
      <c r="E9" s="36" t="n">
        <v>0.03</v>
      </c>
      <c r="F9" s="5" t="s">
        <v>250</v>
      </c>
      <c r="G9" s="10" t="n">
        <v>13.1</v>
      </c>
      <c r="H9" s="36" t="n">
        <v>0.054</v>
      </c>
    </row>
    <row r="10" customFormat="false" ht="15" hidden="false" customHeight="true" outlineLevel="0" collapsed="false">
      <c r="A10" s="28" t="s">
        <v>251</v>
      </c>
      <c r="B10" s="7" t="n">
        <v>3747</v>
      </c>
      <c r="C10" s="36" t="n">
        <v>0.042</v>
      </c>
      <c r="D10" s="7" t="n">
        <v>222</v>
      </c>
      <c r="E10" s="36" t="n">
        <v>0.029</v>
      </c>
      <c r="F10" s="5" t="s">
        <v>252</v>
      </c>
      <c r="G10" s="10" t="n">
        <v>35.7</v>
      </c>
      <c r="H10" s="36" t="n">
        <v>0.148</v>
      </c>
    </row>
    <row r="11" customFormat="false" ht="15" hidden="false" customHeight="true" outlineLevel="0" collapsed="false">
      <c r="A11" s="28" t="s">
        <v>253</v>
      </c>
      <c r="B11" s="7" t="n">
        <v>6794</v>
      </c>
      <c r="C11" s="36" t="n">
        <v>0.009</v>
      </c>
      <c r="D11" s="7" t="n">
        <v>111</v>
      </c>
      <c r="E11" s="36" t="n">
        <v>0.015</v>
      </c>
      <c r="F11" s="5" t="s">
        <v>254</v>
      </c>
      <c r="G11" s="10" t="n">
        <v>32</v>
      </c>
      <c r="H11" s="36" t="n">
        <v>0.133</v>
      </c>
    </row>
    <row r="12" customFormat="false" ht="15" hidden="false" customHeight="true" outlineLevel="0" collapsed="false">
      <c r="A12" s="28" t="s">
        <v>255</v>
      </c>
      <c r="B12" s="5" t="s">
        <v>11</v>
      </c>
      <c r="C12" s="5" t="s">
        <v>11</v>
      </c>
      <c r="D12" s="7" t="n">
        <v>92</v>
      </c>
      <c r="E12" s="36" t="n">
        <v>0.012</v>
      </c>
      <c r="F12" s="5" t="s">
        <v>256</v>
      </c>
      <c r="G12" s="10" t="n">
        <v>8</v>
      </c>
      <c r="H12" s="36" t="n">
        <v>0.033</v>
      </c>
    </row>
    <row r="13" customFormat="false" ht="15" hidden="false" customHeight="true" outlineLevel="0" collapsed="false">
      <c r="A13" s="28" t="s">
        <v>257</v>
      </c>
      <c r="B13" s="5" t="s">
        <v>11</v>
      </c>
      <c r="C13" s="5" t="s">
        <v>11</v>
      </c>
      <c r="D13" s="7" t="n">
        <v>91</v>
      </c>
      <c r="E13" s="36" t="n">
        <v>0.012</v>
      </c>
      <c r="F13" s="5" t="s">
        <v>258</v>
      </c>
      <c r="G13" s="10" t="n">
        <v>9</v>
      </c>
      <c r="H13" s="36" t="n">
        <v>0.037</v>
      </c>
    </row>
    <row r="14" customFormat="false" ht="15" hidden="false" customHeight="true" outlineLevel="0" collapsed="false">
      <c r="A14" s="28" t="s">
        <v>259</v>
      </c>
      <c r="B14" s="7" t="n">
        <v>1369</v>
      </c>
      <c r="C14" s="36" t="n">
        <v>0.027</v>
      </c>
      <c r="D14" s="7" t="n">
        <v>84</v>
      </c>
      <c r="E14" s="36" t="n">
        <v>0.011</v>
      </c>
      <c r="F14" s="5" t="s">
        <v>260</v>
      </c>
      <c r="G14" s="10" t="n">
        <v>11</v>
      </c>
      <c r="H14" s="36" t="n">
        <v>0.046</v>
      </c>
    </row>
    <row r="15" customFormat="false" ht="15" hidden="false" customHeight="true" outlineLevel="0" collapsed="false">
      <c r="A15" s="28" t="s">
        <v>261</v>
      </c>
      <c r="B15" s="5" t="s">
        <v>11</v>
      </c>
      <c r="C15" s="5" t="s">
        <v>11</v>
      </c>
      <c r="D15" s="7" t="n">
        <v>16</v>
      </c>
      <c r="E15" s="36" t="n">
        <v>0.002</v>
      </c>
      <c r="F15" s="5" t="s">
        <v>262</v>
      </c>
      <c r="G15" s="10" t="n">
        <v>1.2</v>
      </c>
      <c r="H15" s="36" t="n">
        <v>0.005</v>
      </c>
    </row>
    <row r="16" customFormat="false" ht="15" hidden="false" customHeight="true" outlineLevel="0" collapsed="false">
      <c r="A16" s="28" t="s">
        <v>263</v>
      </c>
      <c r="B16" s="5" t="s">
        <v>11</v>
      </c>
      <c r="C16" s="5" t="s">
        <v>11</v>
      </c>
      <c r="D16" s="7" t="n">
        <v>15</v>
      </c>
      <c r="E16" s="36" t="n">
        <v>0.002</v>
      </c>
      <c r="F16" s="5" t="s">
        <v>264</v>
      </c>
      <c r="G16" s="10" t="n">
        <v>0</v>
      </c>
      <c r="H16" s="36" t="n">
        <v>0</v>
      </c>
    </row>
    <row r="17" customFormat="false" ht="15" hidden="false" customHeight="true" outlineLevel="0" collapsed="false">
      <c r="A17" s="28" t="s">
        <v>265</v>
      </c>
      <c r="B17" s="5" t="s">
        <v>11</v>
      </c>
      <c r="C17" s="5" t="s">
        <v>11</v>
      </c>
      <c r="D17" s="7" t="n">
        <v>1</v>
      </c>
      <c r="E17" s="36" t="n">
        <v>0</v>
      </c>
      <c r="F17" s="5" t="s">
        <v>266</v>
      </c>
      <c r="G17" s="10" t="n">
        <v>0</v>
      </c>
      <c r="H17" s="36" t="n">
        <v>0</v>
      </c>
    </row>
  </sheetData>
  <autoFilter ref="A4:H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36"/>
    <col collapsed="false" customWidth="true" hidden="false" outlineLevel="0" max="2" min="2" style="14" width="12"/>
    <col collapsed="false" customWidth="true" hidden="false" outlineLevel="0" max="3" min="3" style="14" width="58"/>
  </cols>
  <sheetData>
    <row r="1" customFormat="false" ht="15.75" hidden="false" customHeight="true" outlineLevel="0" collapsed="false">
      <c r="A1" s="31" t="s">
        <v>267</v>
      </c>
    </row>
    <row r="2" customFormat="false" ht="15" hidden="false" customHeight="true" outlineLevel="0" collapsed="false">
      <c r="A2" s="32" t="s">
        <v>268</v>
      </c>
    </row>
    <row r="4" customFormat="false" ht="15" hidden="false" customHeight="true" outlineLevel="0" collapsed="false">
      <c r="A4" s="3" t="s">
        <v>269</v>
      </c>
      <c r="B4" s="3" t="s">
        <v>270</v>
      </c>
      <c r="C4" s="3" t="s">
        <v>271</v>
      </c>
    </row>
    <row r="5" customFormat="false" ht="15" hidden="false" customHeight="true" outlineLevel="0" collapsed="false">
      <c r="A5" s="39" t="s">
        <v>30</v>
      </c>
      <c r="B5" s="7" t="n">
        <v>17427</v>
      </c>
      <c r="C5" s="40" t="s">
        <v>272</v>
      </c>
    </row>
    <row r="6" customFormat="false" ht="15" hidden="false" customHeight="true" outlineLevel="0" collapsed="false">
      <c r="A6" s="39" t="s">
        <v>273</v>
      </c>
      <c r="B6" s="36" t="n">
        <v>0.585</v>
      </c>
      <c r="C6" s="40" t="s">
        <v>274</v>
      </c>
    </row>
    <row r="7" customFormat="false" ht="15" hidden="false" customHeight="true" outlineLevel="0" collapsed="false">
      <c r="A7" s="39" t="s">
        <v>275</v>
      </c>
      <c r="B7" s="36" t="n">
        <v>0.042</v>
      </c>
      <c r="C7" s="40"/>
    </row>
    <row r="8" customFormat="false" ht="23.25" hidden="false" customHeight="true" outlineLevel="0" collapsed="false">
      <c r="A8" s="39" t="s">
        <v>276</v>
      </c>
      <c r="B8" s="7" t="n">
        <v>724</v>
      </c>
      <c r="C8" s="40" t="s">
        <v>277</v>
      </c>
    </row>
    <row r="9" customFormat="false" ht="15" hidden="false" customHeight="true" outlineLevel="0" collapsed="false">
      <c r="A9" s="39" t="s">
        <v>278</v>
      </c>
      <c r="B9" s="5" t="s">
        <v>279</v>
      </c>
      <c r="C9" s="40" t="s">
        <v>280</v>
      </c>
    </row>
    <row r="10" customFormat="false" ht="15" hidden="false" customHeight="true" outlineLevel="0" collapsed="false">
      <c r="A10" s="39" t="s">
        <v>281</v>
      </c>
      <c r="B10" s="41" t="n">
        <v>137.49</v>
      </c>
      <c r="C10" s="40" t="s">
        <v>282</v>
      </c>
    </row>
  </sheetData>
  <autoFilter ref="A4:C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2026-07-15T17:38:01Z</dcterms:created>
  <dc:creator>openpyxl</dc:creator>
  <dc:description/>
  <dc:language>en-US</dc:language>
  <cp:lastModifiedBy/>
  <dcterms:modified xsi:type="dcterms:W3CDTF">2026-07-17T03:11:36Z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