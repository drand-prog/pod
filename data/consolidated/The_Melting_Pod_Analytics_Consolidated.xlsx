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latform Summary" sheetId="1" state="visible" r:id="rId1"/>
    <sheet name="Megaphone Downloads" sheetId="2" state="visible" r:id="rId2"/>
    <sheet name="Megaphone Technology" sheetId="3" state="visible" r:id="rId3"/>
    <sheet name="Spotify Streams" sheetId="4" state="visible" r:id="rId4"/>
    <sheet name="Spotify Engagement" sheetId="5" state="visible" r:id="rId5"/>
    <sheet name="Spotify Completion Rates" sheetId="6" state="visible" r:id="rId6"/>
    <sheet name="Spotify WoW Retention" sheetId="7" state="visible" r:id="rId7"/>
    <sheet name="Apple Episodes" sheetId="8" state="visible" r:id="rId8"/>
    <sheet name="Apple Top Cities" sheetId="9" state="visible" r:id="rId9"/>
    <sheet name="YouTube Videos" sheetId="10" state="visible" r:id="rId10"/>
    <sheet name="YouTube Traffic Sources" sheetId="11" state="visible" r:id="rId11"/>
    <sheet name="YouTube Funnel" sheetId="12" state="visible" r:id="rId12"/>
  </sheets>
  <definedNames>
    <definedName name="_xlnm._FilterDatabase" localSheetId="0" hidden="1">'Platform Summary'!$A$4:$F$14</definedName>
    <definedName name="_xlnm._FilterDatabase" localSheetId="1" hidden="1">'Megaphone Downloads'!$A$1:$C$197</definedName>
    <definedName name="_xlnm._FilterDatabase" localSheetId="2" hidden="1">'Megaphone Technology'!$A$4:$C$34</definedName>
    <definedName name="_xlnm._FilterDatabase" localSheetId="3" hidden="1">'Spotify Streams'!$A$1:$B$145</definedName>
    <definedName name="_xlnm._FilterDatabase" localSheetId="4" hidden="1">'Spotify Engagement'!$A$1:$E$144</definedName>
    <definedName name="_xlnm._FilterDatabase" localSheetId="5" hidden="1">'Spotify Completion Rates'!$A$1:$D$11</definedName>
    <definedName name="_xlnm._FilterDatabase" localSheetId="6" hidden="1">'Spotify WoW Retention'!$A$1:$B$21</definedName>
    <definedName name="_xlnm._FilterDatabase" localSheetId="7" hidden="1">'Apple Episodes'!$A$4:$H$16</definedName>
    <definedName name="_xlnm._FilterDatabase" localSheetId="8" hidden="1">'Apple Top Cities'!$A$4:$B$41</definedName>
    <definedName name="_xlnm._FilterDatabase" localSheetId="9" hidden="1">'YouTube Videos'!$A$4:$J$25</definedName>
    <definedName name="_xlnm._FilterDatabase" localSheetId="10" hidden="1">'YouTube Traffic Sources'!$A$4:$H$17</definedName>
    <definedName name="_xlnm._FilterDatabase" localSheetId="11" hidden="1">'YouTube Funnel'!$A$4:$C$10</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yyyy\-mm\-dd"/>
    <numFmt numFmtId="166" formatCode="#,##0.0000"/>
    <numFmt numFmtId="167" formatCode="0.0"/>
    <numFmt numFmtId="168" formatCode="0.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F4E5F"/>
      <sz val="13"/>
    </font>
    <font>
      <name val="Arial"/>
      <charset val="1"/>
      <family val="0"/>
      <i val="1"/>
      <color rgb="FF595959"/>
      <sz val="9"/>
    </font>
    <font>
      <name val="Arial"/>
      <charset val="1"/>
      <family val="0"/>
      <b val="1"/>
      <color rgb="FFFFFFFF"/>
      <sz val="11"/>
    </font>
    <font>
      <name val="Arial"/>
      <charset val="1"/>
      <family val="0"/>
      <b val="1"/>
      <sz val="10"/>
    </font>
    <font>
      <name val="Arial"/>
      <charset val="1"/>
      <family val="0"/>
      <sz val="10"/>
    </font>
    <font>
      <name val="Arial"/>
      <charset val="1"/>
      <family val="0"/>
      <color rgb="FF404040"/>
      <sz val="9"/>
    </font>
    <font>
      <name val="Arial"/>
      <charset val="1"/>
      <family val="0"/>
      <b val="1"/>
      <color rgb="FF008000"/>
      <sz val="10"/>
    </font>
    <font>
      <name val="Arial"/>
      <charset val="1"/>
      <family val="0"/>
      <b val="1"/>
      <color rgb="FF1F6F3C"/>
      <sz val="10"/>
    </font>
    <font>
      <name val="Arial"/>
      <family val="2"/>
      <sz val="10"/>
    </font>
  </fonts>
  <fills count="5">
    <fill>
      <patternFill/>
    </fill>
    <fill>
      <patternFill patternType="gray125"/>
    </fill>
    <fill>
      <patternFill patternType="solid">
        <fgColor rgb="FF1F4E5F"/>
        <bgColor rgb="FF404040"/>
      </patternFill>
    </fill>
    <fill>
      <patternFill patternType="solid">
        <fgColor rgb="FFEAF3EC"/>
        <bgColor rgb="FFE8EEF0"/>
      </patternFill>
    </fill>
    <fill>
      <patternFill patternType="solid">
        <fgColor rgb="FFE8EEF0"/>
        <bgColor rgb="FFEAF3EC"/>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diagonal/>
    </border>
    <border>
      <left/>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5" fillId="0" borderId="0" applyAlignment="1" pivotButton="0" quotePrefix="0" xfId="0">
      <alignment horizontal="general" vertical="center" wrapText="1"/>
    </xf>
    <xf numFmtId="0" fontId="6" fillId="2" borderId="1" applyAlignment="1" pivotButton="0" quotePrefix="0" xfId="0">
      <alignment horizontal="center" vertical="center" wrapText="1"/>
    </xf>
    <xf numFmtId="0" fontId="7" fillId="0" borderId="1" applyAlignment="1" pivotButton="0" quotePrefix="0" xfId="0">
      <alignment horizontal="general" vertical="center"/>
    </xf>
    <xf numFmtId="0" fontId="8" fillId="0" borderId="1" applyAlignment="1" pivotButton="0" quotePrefix="0" xfId="0">
      <alignment horizontal="center" vertical="center"/>
    </xf>
    <xf numFmtId="0" fontId="9" fillId="0" borderId="1" applyAlignment="1" pivotButton="0" quotePrefix="0" xfId="0">
      <alignment horizontal="general" vertical="center" wrapText="1"/>
    </xf>
    <xf numFmtId="3" fontId="8" fillId="0" borderId="1" applyAlignment="1" pivotButton="0" quotePrefix="0" xfId="0">
      <alignment horizontal="center" vertical="center"/>
    </xf>
    <xf numFmtId="3" fontId="10" fillId="0" borderId="1" applyAlignment="1" pivotButton="0" quotePrefix="0" xfId="0">
      <alignment horizontal="center" vertical="center"/>
    </xf>
    <xf numFmtId="3" fontId="10" fillId="3" borderId="1" applyAlignment="1" pivotButton="0" quotePrefix="0" xfId="0">
      <alignment horizontal="center" vertical="center"/>
    </xf>
    <xf numFmtId="164" fontId="8" fillId="0" borderId="1" applyAlignment="1" pivotButton="0" quotePrefix="0" xfId="0">
      <alignment horizontal="center" vertical="center"/>
    </xf>
    <xf numFmtId="0" fontId="11" fillId="0" borderId="0" applyAlignment="1" pivotButton="0" quotePrefix="0" xfId="0">
      <alignment horizontal="general" vertical="center"/>
    </xf>
    <xf numFmtId="0" fontId="9" fillId="3" borderId="2" applyAlignment="1" pivotButton="0" quotePrefix="0" xfId="0">
      <alignment horizontal="general" vertical="center" wrapText="1"/>
    </xf>
    <xf numFmtId="0" fontId="9" fillId="0" borderId="0" applyAlignment="1" pivotButton="0" quotePrefix="0" xfId="0">
      <alignment horizontal="general" vertical="center" wrapText="1"/>
    </xf>
    <xf numFmtId="0" fontId="0" fillId="0" borderId="0" applyAlignment="1" pivotButton="0" quotePrefix="0" xfId="0">
      <alignment horizontal="general" vertical="bottom"/>
    </xf>
    <xf numFmtId="165" fontId="8" fillId="0" borderId="1" applyAlignment="1" pivotButton="0" quotePrefix="0" xfId="0">
      <alignment horizontal="general" vertical="bottom"/>
    </xf>
    <xf numFmtId="3" fontId="8" fillId="0" borderId="1" applyAlignment="1" pivotButton="0" quotePrefix="0" xfId="0">
      <alignment horizontal="general" vertical="bottom"/>
    </xf>
    <xf numFmtId="0" fontId="6" fillId="2" borderId="1" applyAlignment="1" pivotButton="0" quotePrefix="0" xfId="0">
      <alignment horizontal="center" vertical="center"/>
    </xf>
    <xf numFmtId="0" fontId="8" fillId="0" borderId="1" applyAlignment="1" pivotButton="0" quotePrefix="0" xfId="0">
      <alignment horizontal="general" vertical="center"/>
    </xf>
    <xf numFmtId="9" fontId="8" fillId="0" borderId="1" applyAlignment="1" pivotButton="0" quotePrefix="0" xfId="0">
      <alignment horizontal="center" vertical="center"/>
    </xf>
    <xf numFmtId="0" fontId="7" fillId="4" borderId="1" applyAlignment="1" pivotButton="0" quotePrefix="0" xfId="0">
      <alignment horizontal="general" vertical="center"/>
    </xf>
    <xf numFmtId="3" fontId="7" fillId="4" borderId="1" applyAlignment="1" pivotButton="0" quotePrefix="0" xfId="0">
      <alignment horizontal="center" vertical="center"/>
    </xf>
    <xf numFmtId="9" fontId="7" fillId="4" borderId="1" applyAlignment="1" pivotButton="0" quotePrefix="0" xfId="0">
      <alignment horizontal="center" vertical="center"/>
    </xf>
    <xf numFmtId="0" fontId="7" fillId="3" borderId="1" applyAlignment="1" pivotButton="0" quotePrefix="0" xfId="0">
      <alignment horizontal="general" vertical="center"/>
    </xf>
    <xf numFmtId="3" fontId="7" fillId="3" borderId="1" applyAlignment="1" pivotButton="0" quotePrefix="0" xfId="0">
      <alignment horizontal="center" vertical="center"/>
    </xf>
    <xf numFmtId="0" fontId="9" fillId="0" borderId="0" applyAlignment="1" pivotButton="0" quotePrefix="0" xfId="0">
      <alignment horizontal="general" vertical="center"/>
    </xf>
    <xf numFmtId="4" fontId="8" fillId="0" borderId="1" applyAlignment="1" pivotButton="0" quotePrefix="0" xfId="0">
      <alignment horizontal="general" vertical="bottom"/>
    </xf>
    <xf numFmtId="166" fontId="8" fillId="0" borderId="1" applyAlignment="1" pivotButton="0" quotePrefix="0" xfId="0">
      <alignment horizontal="general" vertical="bottom"/>
    </xf>
    <xf numFmtId="0" fontId="8" fillId="0" borderId="1" applyAlignment="1" pivotButton="0" quotePrefix="0" xfId="0">
      <alignment horizontal="general" vertical="bottom"/>
    </xf>
    <xf numFmtId="167" fontId="8" fillId="0" borderId="1" applyAlignment="1" pivotButton="0" quotePrefix="0" xfId="0">
      <alignment horizontal="general" vertical="bottom"/>
    </xf>
    <xf numFmtId="2" fontId="8" fillId="0" borderId="1"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4" borderId="1" applyAlignment="1" pivotButton="0" quotePrefix="0" xfId="0">
      <alignment horizontal="general" vertical="bottom"/>
    </xf>
    <xf numFmtId="0" fontId="8" fillId="4" borderId="1" applyAlignment="1" pivotButton="0" quotePrefix="0" xfId="0">
      <alignment horizontal="general" vertical="bottom"/>
    </xf>
    <xf numFmtId="0" fontId="7" fillId="4" borderId="1" applyAlignment="1" pivotButton="0" quotePrefix="0" xfId="0">
      <alignment horizontal="center" vertical="center"/>
    </xf>
    <xf numFmtId="168" fontId="8" fillId="0" borderId="1" applyAlignment="1" pivotButton="0" quotePrefix="0" xfId="0">
      <alignment horizontal="center" vertical="center"/>
    </xf>
    <xf numFmtId="164" fontId="7" fillId="4" borderId="1" applyAlignment="1" pivotButton="0" quotePrefix="0" xfId="0">
      <alignment horizontal="center" vertical="center"/>
    </xf>
    <xf numFmtId="168" fontId="7" fillId="4" borderId="1" applyAlignment="1" pivotButton="0" quotePrefix="0" xfId="0">
      <alignment horizontal="center" vertical="center"/>
    </xf>
    <xf numFmtId="0" fontId="7" fillId="0" borderId="1" applyAlignment="1" pivotButton="0" quotePrefix="0" xfId="0">
      <alignment horizontal="general" vertical="bottom"/>
    </xf>
    <xf numFmtId="0" fontId="8" fillId="0" borderId="1" applyAlignment="1" pivotButton="0" quotePrefix="0" xfId="0">
      <alignment horizontal="general" vertical="center" wrapText="1"/>
    </xf>
    <xf numFmtId="4" fontId="8"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center"/>
    </xf>
    <xf numFmtId="0" fontId="5" fillId="0" borderId="0" applyAlignment="1" pivotButton="0" quotePrefix="0" xfId="0">
      <alignment horizontal="general" vertical="center" wrapText="1"/>
    </xf>
    <xf numFmtId="0" fontId="6" fillId="2" borderId="1" applyAlignment="1" pivotButton="0" quotePrefix="0" xfId="0">
      <alignment horizontal="center" vertical="center" wrapText="1"/>
    </xf>
    <xf numFmtId="0" fontId="7" fillId="0" borderId="1" applyAlignment="1" pivotButton="0" quotePrefix="0" xfId="0">
      <alignment horizontal="general" vertical="center"/>
    </xf>
    <xf numFmtId="0" fontId="8" fillId="0" borderId="1" applyAlignment="1" pivotButton="0" quotePrefix="0" xfId="0">
      <alignment horizontal="center" vertical="center"/>
    </xf>
    <xf numFmtId="0" fontId="9" fillId="0" borderId="1" applyAlignment="1" pivotButton="0" quotePrefix="0" xfId="0">
      <alignment horizontal="general" vertical="center" wrapText="1"/>
    </xf>
    <xf numFmtId="3" fontId="8" fillId="0" borderId="1" applyAlignment="1" pivotButton="0" quotePrefix="0" xfId="0">
      <alignment horizontal="center" vertical="center"/>
    </xf>
    <xf numFmtId="3" fontId="10" fillId="0" borderId="1" applyAlignment="1" pivotButton="0" quotePrefix="0" xfId="0">
      <alignment horizontal="center" vertical="center"/>
    </xf>
    <xf numFmtId="3" fontId="10" fillId="3" borderId="1" applyAlignment="1" pivotButton="0" quotePrefix="0" xfId="0">
      <alignment horizontal="center" vertical="center"/>
    </xf>
    <xf numFmtId="164" fontId="8" fillId="0" borderId="1" applyAlignment="1" pivotButton="0" quotePrefix="0" xfId="0">
      <alignment horizontal="center" vertical="center"/>
    </xf>
    <xf numFmtId="0" fontId="11" fillId="0" borderId="0" applyAlignment="1" pivotButton="0" quotePrefix="0" xfId="0">
      <alignment horizontal="general" vertical="center"/>
    </xf>
    <xf numFmtId="0" fontId="9" fillId="3" borderId="2" applyAlignment="1" pivotButton="0" quotePrefix="0" xfId="0">
      <alignment horizontal="general" vertical="center" wrapText="1"/>
    </xf>
    <xf numFmtId="0" fontId="0" fillId="0" borderId="4" pivotButton="0" quotePrefix="0" xfId="0"/>
    <xf numFmtId="0" fontId="9" fillId="0" borderId="0" applyAlignment="1" pivotButton="0" quotePrefix="0" xfId="0">
      <alignment horizontal="general" vertical="center" wrapText="1"/>
    </xf>
    <xf numFmtId="165" fontId="8" fillId="0" borderId="1" applyAlignment="1" pivotButton="0" quotePrefix="0" xfId="0">
      <alignment horizontal="general" vertical="bottom"/>
    </xf>
    <xf numFmtId="3" fontId="8" fillId="0" borderId="1" applyAlignment="1" pivotButton="0" quotePrefix="0" xfId="0">
      <alignment horizontal="general" vertical="bottom"/>
    </xf>
    <xf numFmtId="0" fontId="6" fillId="2" borderId="1" applyAlignment="1" pivotButton="0" quotePrefix="0" xfId="0">
      <alignment horizontal="center" vertical="center"/>
    </xf>
    <xf numFmtId="0" fontId="8" fillId="0" borderId="1" applyAlignment="1" pivotButton="0" quotePrefix="0" xfId="0">
      <alignment horizontal="general" vertical="center"/>
    </xf>
    <xf numFmtId="9" fontId="8" fillId="0" borderId="1" applyAlignment="1" pivotButton="0" quotePrefix="0" xfId="0">
      <alignment horizontal="center" vertical="center"/>
    </xf>
    <xf numFmtId="0" fontId="7" fillId="4" borderId="1" applyAlignment="1" pivotButton="0" quotePrefix="0" xfId="0">
      <alignment horizontal="general" vertical="center"/>
    </xf>
    <xf numFmtId="3" fontId="7" fillId="4" borderId="1" applyAlignment="1" pivotButton="0" quotePrefix="0" xfId="0">
      <alignment horizontal="center" vertical="center"/>
    </xf>
    <xf numFmtId="9" fontId="7" fillId="4" borderId="1" applyAlignment="1" pivotButton="0" quotePrefix="0" xfId="0">
      <alignment horizontal="center" vertical="center"/>
    </xf>
    <xf numFmtId="0" fontId="7" fillId="3" borderId="1" applyAlignment="1" pivotButton="0" quotePrefix="0" xfId="0">
      <alignment horizontal="general" vertical="center"/>
    </xf>
    <xf numFmtId="3" fontId="7" fillId="3" borderId="1" applyAlignment="1" pivotButton="0" quotePrefix="0" xfId="0">
      <alignment horizontal="center" vertical="center"/>
    </xf>
    <xf numFmtId="0" fontId="9" fillId="0" borderId="0" applyAlignment="1" pivotButton="0" quotePrefix="0" xfId="0">
      <alignment horizontal="general" vertical="center"/>
    </xf>
    <xf numFmtId="4" fontId="8" fillId="0" borderId="1" applyAlignment="1" pivotButton="0" quotePrefix="0" xfId="0">
      <alignment horizontal="general" vertical="bottom"/>
    </xf>
    <xf numFmtId="166" fontId="8" fillId="0" borderId="1" applyAlignment="1" pivotButton="0" quotePrefix="0" xfId="0">
      <alignment horizontal="general" vertical="bottom"/>
    </xf>
    <xf numFmtId="0" fontId="8" fillId="0" borderId="1" applyAlignment="1" pivotButton="0" quotePrefix="0" xfId="0">
      <alignment horizontal="general" vertical="bottom"/>
    </xf>
    <xf numFmtId="167" fontId="8" fillId="0" borderId="1" applyAlignment="1" pivotButton="0" quotePrefix="0" xfId="0">
      <alignment horizontal="general" vertical="bottom"/>
    </xf>
    <xf numFmtId="2" fontId="8" fillId="0" borderId="1"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4" borderId="1" applyAlignment="1" pivotButton="0" quotePrefix="0" xfId="0">
      <alignment horizontal="general" vertical="bottom"/>
    </xf>
    <xf numFmtId="0" fontId="8" fillId="4" borderId="1" applyAlignment="1" pivotButton="0" quotePrefix="0" xfId="0">
      <alignment horizontal="general" vertical="bottom"/>
    </xf>
    <xf numFmtId="0" fontId="7" fillId="4" borderId="1" applyAlignment="1" pivotButton="0" quotePrefix="0" xfId="0">
      <alignment horizontal="center" vertical="center"/>
    </xf>
    <xf numFmtId="168" fontId="8" fillId="0" borderId="1" applyAlignment="1" pivotButton="0" quotePrefix="0" xfId="0">
      <alignment horizontal="center" vertical="center"/>
    </xf>
    <xf numFmtId="164" fontId="7" fillId="4" borderId="1" applyAlignment="1" pivotButton="0" quotePrefix="0" xfId="0">
      <alignment horizontal="center" vertical="center"/>
    </xf>
    <xf numFmtId="168" fontId="7" fillId="4" borderId="1" applyAlignment="1" pivotButton="0" quotePrefix="0" xfId="0">
      <alignment horizontal="center" vertical="center"/>
    </xf>
    <xf numFmtId="0" fontId="7" fillId="0" borderId="1" applyAlignment="1" pivotButton="0" quotePrefix="0" xfId="0">
      <alignment horizontal="general" vertical="bottom"/>
    </xf>
    <xf numFmtId="0" fontId="8" fillId="0" borderId="1" applyAlignment="1" pivotButton="0" quotePrefix="0" xfId="0">
      <alignment horizontal="general" vertical="center" wrapText="1"/>
    </xf>
    <xf numFmtId="4" fontId="8" fillId="0"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EAF3EC"/>
          <bgColor rgb="FF000000"/>
        </patternFill>
      </fill>
    </dxf>
    <dxf>
      <fill>
        <patternFill patternType="solid">
          <fgColor rgb="FF404040"/>
          <bgColor rgb="FF000000"/>
        </patternFill>
      </fill>
    </dxf>
    <dxf>
      <fill>
        <patternFill patternType="solid">
          <fgColor rgb="FFE8EEF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3C"/>
      <rgbColor rgb="FFC0C0C0"/>
      <rgbColor rgb="FF808080"/>
      <rgbColor rgb="FF9999FF"/>
      <rgbColor rgb="FF993366"/>
      <rgbColor rgb="FFEAF3EC"/>
      <rgbColor rgb="FFE8EE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4E5F"/>
      <rgbColor rgb="FF339966"/>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Unknown Author</author>
  </authors>
  <commentList>
    <comment ref="D8" authorId="0" shapeId="0">
      <text>
        <t>OTHER PLATFORMS = Megaphone total downloads - Apple downloads - Spotify downloads, all from Megaphone's Technology Performance report (IAB downloads).
9,632 - 6,200 - 1,003 = 2,429.
Earlier attempts subtracted the platforms' native PLAY counts (Apple 10,400, Spotify 1,934), which are playback events, not file requests, and gave a negative number. Using Megaphone's own per-app DOWNLOAD figures fixes that.</t>
      </text>
    </comment>
  </commentList>
</comments>
</file>

<file path=xl/comments/comment2.xml><?xml version="1.0" encoding="utf-8"?>
<comments xmlns="http://schemas.openxmlformats.org/spreadsheetml/2006/main">
  <authors>
    <author>Unknown Author</author>
  </authors>
  <commentList>
    <comment ref="A1" authorId="0" shapeId="0">
      <text>
        <t>Megaphone downloads span all listening platforms (incl. Spotify and Apple) but EXCLUDE YouTube. Source rows were originally sorted by Downloads descending; re-sorted here by Date ascending. Range 2026-01-01 to 2026-07-15.</t>
      </text>
    </comment>
  </commentList>
</comments>
</file>

<file path=xl/comments/comment3.xml><?xml version="1.0" encoding="utf-8"?>
<comments xmlns="http://schemas.openxmlformats.org/spreadsheetml/2006/main">
  <authors>
    <author>Unknown Author</author>
  </authors>
  <commentList>
    <comment ref="A1" authorId="0" shapeId="0">
      <text>
        <t>Spotify only. Daily streams, all-time.</t>
      </text>
    </comment>
  </commentList>
</comments>
</file>

<file path=xl/comments/comment4.xml><?xml version="1.0" encoding="utf-8"?>
<comments xmlns="http://schemas.openxmlformats.org/spreadsheetml/2006/main">
  <authors>
    <author>Unknown Author</author>
  </authors>
  <commentList>
    <comment ref="A1" authorId="0" shapeId="0">
      <text>
        <t>Spotify only. Blank Comments cells = no comment data reported that day.</t>
      </text>
    </comment>
  </commentList>
</comments>
</file>

<file path=xl/comments/comment5.xml><?xml version="1.0" encoding="utf-8"?>
<comments xmlns="http://schemas.openxmlformats.org/spreadsheetml/2006/main">
  <authors>
    <author>Unknown Author</author>
  </authors>
  <commentList>
    <comment ref="A1" authorId="0" shapeId="0">
      <text>
        <t>Spotify only. Completion rate stored as percent points (e.g. 50 = 50%).</t>
      </text>
    </comment>
  </commentList>
</comments>
</file>

<file path=xl/comments/comment6.xml><?xml version="1.0" encoding="utf-8"?>
<comments xmlns="http://schemas.openxmlformats.org/spreadsheetml/2006/main">
  <authors>
    <author>Unknown Author</author>
  </authors>
  <commentList>
    <comment ref="A1" authorId="0" shapeId="0">
      <text>
        <t>Spotify only. Retention rate stored as percent points (e.g. 37.84 = 37.84%).</t>
      </text>
    </comment>
  </commentList>
</comments>
</file>

<file path=xl/comments/comment7.xml><?xml version="1.0" encoding="utf-8"?>
<comments xmlns="http://schemas.openxmlformats.org/spreadsheetml/2006/main">
  <authors>
    <author>Unknown Author</author>
  </authors>
  <commentList>
    <comment ref="E16" authorId="0" shapeId="0">
      <text>
        <t>Listeners and Engaged listeners are unique counts and do NOT sum across episodes (Apple all-time unique Listeners = 587, Engaged = 409). Only Plays are additive; listed-episode Plays sum vs Apple headline '10.4K'.</t>
      </text>
    </comment>
  </commentList>
</comments>
</file>

<file path=xl/comments/comment8.xml><?xml version="1.0" encoding="utf-8"?>
<comments xmlns="http://schemas.openxmlformats.org/spreadsheetml/2006/main">
  <authors>
    <author>Unknown Author</author>
  </authors>
  <commentList>
    <comment ref="A24" authorId="0" shapeId="0">
      <text>
        <t>Rows-shown sum is below the channel total because low-view videos are cut off at the bottom of the screenshot. Subscribers attributed to videos (sum) fall well short of the 178 net total because subscribers also arrive via channel pages, not a specific video.</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sheet1.xml><?xml version="1.0" encoding="utf-8"?>
<worksheet xmlns="http://schemas.openxmlformats.org/spreadsheetml/2006/main">
  <sheetPr filterMode="0">
    <outlinePr summaryBelow="1" summaryRight="1"/>
    <pageSetUpPr fitToPage="0"/>
  </sheetPr>
  <dimension ref="A1:F23"/>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42" min="1" max="1"/>
    <col width="12" customWidth="1" style="42" min="2" max="2"/>
    <col width="15" customWidth="1" style="42" min="3" max="3"/>
    <col width="16" customWidth="1" style="42" min="4" max="5"/>
    <col width="82" customWidth="1" style="42" min="6" max="6"/>
  </cols>
  <sheetData>
    <row r="1" ht="16.15" customHeight="1" s="43">
      <c r="A1" s="44" t="inlineStr">
        <is>
          <t>Cross-Platform KPI Summary</t>
        </is>
      </c>
    </row>
    <row r="2" ht="27.75" customHeight="1" s="43">
      <c r="A2" s="45" t="inlineStr">
        <is>
          <t>Transcribed from Spotify, Apple Podcasts Connect and YouTube Studio screenshots (labeled figures only). Term definitions in Notes are quoted from each platform's own documentation; sources listed at the bottom.</t>
        </is>
      </c>
    </row>
    <row r="4" ht="26.85" customHeight="1" s="43">
      <c r="A4" s="46" t="inlineStr">
        <is>
          <t>Metric</t>
        </is>
      </c>
      <c r="B4" s="46" t="inlineStr">
        <is>
          <t>Spotify</t>
        </is>
      </c>
      <c r="C4" s="46" t="inlineStr">
        <is>
          <t>Apple Podcasts</t>
        </is>
      </c>
      <c r="D4" s="46" t="inlineStr">
        <is>
          <t>Other platforms</t>
        </is>
      </c>
      <c r="E4" s="46" t="inlineStr">
        <is>
          <t>YouTube</t>
        </is>
      </c>
      <c r="F4" s="46" t="inlineStr">
        <is>
          <t>Notes — definitions (platforms' own wording)</t>
        </is>
      </c>
    </row>
    <row r="5" ht="60" customHeight="1" s="43">
      <c r="A5" s="47" t="inlineStr">
        <is>
          <t>Reporting period</t>
        </is>
      </c>
      <c r="B5" s="48" t="inlineStr">
        <is>
          <t>All-time</t>
        </is>
      </c>
      <c r="C5" s="48" t="inlineStr">
        <is>
          <t>All time</t>
        </is>
      </c>
      <c r="D5" s="48" t="inlineStr">
        <is>
          <t>—</t>
        </is>
      </c>
      <c r="E5" s="48" t="inlineStr">
        <is>
          <t>Jan 1 – Jul 14, 2026 (195 days)</t>
        </is>
      </c>
      <c r="F5" s="49" t="inlineStr">
        <is>
          <t>Spotify and Apple columns are all-time; YouTube is a 195-day 2026 window; the Megaphone download report covers Jan 1 – Jul 16. Different periods — cross-platform totals are not strictly comparable.</t>
        </is>
      </c>
    </row>
    <row r="6" ht="73.5" customHeight="1" s="43">
      <c r="A6" s="47" t="inlineStr">
        <is>
          <t>Followers / Subscribers</t>
        </is>
      </c>
      <c r="B6" s="50" t="n">
        <v>283</v>
      </c>
      <c r="C6" s="50" t="n">
        <v>521</v>
      </c>
      <c r="D6" s="48" t="inlineStr">
        <is>
          <t>—</t>
        </is>
      </c>
      <c r="E6" s="50" t="n">
        <v>178</v>
      </c>
      <c r="F6" s="49" t="inlineStr">
        <is>
          <t>Apple 'Followers' = "The total number of people following your show" (Apple Podcasts Connect). Spotify 'Followers' = listeners who tapped Follow. YouTube 'Subscribers' shown here is the NET change for the period (gained minus lost); the overview reads "+178". Opt-in audience, not play volume.</t>
        </is>
      </c>
    </row>
    <row r="7" ht="87.75" customHeight="1" s="43">
      <c r="A7" s="47" t="inlineStr">
        <is>
          <t>Plays / Streams / Views</t>
        </is>
      </c>
      <c r="B7" s="50" t="n">
        <v>1934</v>
      </c>
      <c r="C7" s="50" t="n">
        <v>13600</v>
      </c>
      <c r="D7" s="48" t="inlineStr">
        <is>
          <t>—</t>
        </is>
      </c>
      <c r="E7" s="50" t="n">
        <v>7543</v>
      </c>
      <c r="F7" s="49" t="inlineStr">
        <is>
          <t>Apple 'Plays' = "The total number of times people pressed play on your episode" (Apple). Spotify 'Plays' (standard effective 11 Jun 2026) counts an episode "watched or listened to for at least thirty seconds" (Spotify); header value is rounded. YouTube 'Views' = times a video was watched (unique + repeat). These are PLAY events; Megaphone counts DOWNLOADS instead, so the cross-platform residual sits on the next row, not here.</t>
        </is>
      </c>
    </row>
    <row r="8" ht="91.5" customHeight="1" s="43">
      <c r="A8" s="47" t="inlineStr">
        <is>
          <t>Downloads by app (Megaphone, IAB)</t>
        </is>
      </c>
      <c r="B8" s="51">
        <f>'Megaphone Technology'!$B$6</f>
        <v/>
      </c>
      <c r="C8" s="51">
        <f>'Megaphone Technology'!$B$5</f>
        <v/>
      </c>
      <c r="D8" s="52">
        <f>SUM('Megaphone Technology'!$B$5:$B$34)-'Megaphone Technology'!$B$6-'Megaphone Technology'!$B$5</f>
        <v/>
      </c>
      <c r="E8" s="48" t="inlineStr">
        <is>
          <t>—</t>
        </is>
      </c>
      <c r="F8" s="49" t="inlineStr">
        <is>
          <t>IAB / Megaphone 'Download' = "a unique file request that was downloaded" (complete or partial), de-duplicated by IP + user agent within 24h. These are Megaphone's OWN per-app download counts — the correct like-for-like basis. 'Other platforms' = Megaphone total (9,632) - Apple (6,200) - Spotify (1,003) = 2,429 (Chrome, Overcast, Safari, Pocket Casts, and the long tail). Green cells link to the 'Megaphone Technology' tab. Megaphone excludes YouTube.</t>
        </is>
      </c>
    </row>
    <row r="9" ht="60" customHeight="1" s="43">
      <c r="A9" s="47" t="inlineStr">
        <is>
          <t>Listeners (unique)</t>
        </is>
      </c>
      <c r="B9" s="48" t="inlineStr">
        <is>
          <t>—</t>
        </is>
      </c>
      <c r="C9" s="50" t="n">
        <v>671</v>
      </c>
      <c r="D9" s="48" t="inlineStr">
        <is>
          <t>—</t>
        </is>
      </c>
      <c r="E9" s="48" t="inlineStr">
        <is>
          <t>—</t>
        </is>
      </c>
      <c r="F9" s="49" t="inlineStr">
        <is>
          <t>Apple 'Listeners' = "The total number of people that listened to or watched your show" (Apple). Unique devices, so this does NOT equal the sum of per-episode listeners.</t>
        </is>
      </c>
    </row>
    <row r="10" ht="48" customHeight="1" s="43">
      <c r="A10" s="47" t="inlineStr">
        <is>
          <t>Engaged listeners</t>
        </is>
      </c>
      <c r="B10" s="48" t="inlineStr">
        <is>
          <t>—</t>
        </is>
      </c>
      <c r="C10" s="50" t="n">
        <v>470</v>
      </c>
      <c r="D10" s="48" t="inlineStr">
        <is>
          <t>—</t>
        </is>
      </c>
      <c r="E10" s="48" t="inlineStr">
        <is>
          <t>—</t>
        </is>
      </c>
      <c r="F10" s="49" t="inlineStr">
        <is>
          <t>Apple 'Engaged Listeners' = "Total number of people who listened to or watched at least 20 minutes or 40% of an episode" (Apple).</t>
        </is>
      </c>
    </row>
    <row r="11" ht="73.5" customHeight="1" s="43">
      <c r="A11" s="47" t="inlineStr">
        <is>
          <t>Listen / Watch time (hours)</t>
        </is>
      </c>
      <c r="B11" s="48" t="inlineStr">
        <is>
          <t>—</t>
        </is>
      </c>
      <c r="C11" s="53" t="n">
        <v>1700</v>
      </c>
      <c r="D11" s="48" t="inlineStr">
        <is>
          <t>—</t>
        </is>
      </c>
      <c r="E11" s="53" t="n">
        <v>241.5</v>
      </c>
      <c r="F11" s="49" t="inlineStr">
        <is>
          <t>Apple 'Time Listened' = cumulative hours listened across all listeners and followers (Apple); header "1.7K" = Following ~1,306 + Not-following 394 ≈ 1,700 (Following is Apple's own rounded "1.3K" display, not an exact figure this time). YouTube 'Watch time' = total hours viewers spent watching, including complete and partial views.</t>
        </is>
      </c>
    </row>
    <row r="12" ht="39.75" customHeight="1" s="43">
      <c r="A12" s="47" t="inlineStr">
        <is>
          <t xml:space="preserve">  — of which Following (Apple)</t>
        </is>
      </c>
      <c r="B12" s="48" t="inlineStr">
        <is>
          <t>—</t>
        </is>
      </c>
      <c r="C12" s="50" t="n">
        <v>1306</v>
      </c>
      <c r="D12" s="48" t="inlineStr">
        <is>
          <t>—</t>
        </is>
      </c>
      <c r="E12" s="48" t="inlineStr">
        <is>
          <t>—</t>
        </is>
      </c>
      <c r="F12" s="49" t="inlineStr">
        <is>
          <t>Apple splits Time Listened by whether the listener follows the show. Following ≈ 76% of the ~1,700 hours (Apple-displayed rounding).</t>
        </is>
      </c>
    </row>
    <row r="13" ht="36" customHeight="1" s="43">
      <c r="A13" s="47" t="inlineStr">
        <is>
          <t xml:space="preserve">  — of which Not following (Apple)</t>
        </is>
      </c>
      <c r="B13" s="48" t="inlineStr">
        <is>
          <t>—</t>
        </is>
      </c>
      <c r="C13" s="50" t="n">
        <v>394</v>
      </c>
      <c r="D13" s="48" t="inlineStr">
        <is>
          <t>—</t>
        </is>
      </c>
      <c r="E13" s="48" t="inlineStr">
        <is>
          <t>—</t>
        </is>
      </c>
      <c r="F13" s="49" t="inlineStr">
        <is>
          <t>Not following = 24% of the ~1,700 hours (Apple-displayed rounding).</t>
        </is>
      </c>
    </row>
    <row r="14" ht="73.5" customHeight="1" s="43">
      <c r="A14" s="47" t="inlineStr">
        <is>
          <t>Impressions</t>
        </is>
      </c>
      <c r="B14" s="48" t="inlineStr">
        <is>
          <t>—</t>
        </is>
      </c>
      <c r="C14" s="48" t="inlineStr">
        <is>
          <t>—</t>
        </is>
      </c>
      <c r="D14" s="48" t="inlineStr">
        <is>
          <t>—</t>
        </is>
      </c>
      <c r="E14" s="50" t="n">
        <v>17427</v>
      </c>
      <c r="F14" s="49" t="inlineStr">
        <is>
          <t>YouTube 'Impressions' = how often your video thumbnails were shown to viewers on YouTube (registered impressions). 'Impressions CTR' = the percentage of impressions that resulted in a viewer clicking your video and watching it (4.2%). 'Average view duration' = total watch time divided by total views (4:05).</t>
        </is>
      </c>
    </row>
    <row r="16" ht="15" customHeight="1" s="43">
      <c r="A16" s="54" t="inlineStr">
        <is>
          <t>"Other platforms" — resolved on a downloads basis</t>
        </is>
      </c>
    </row>
    <row r="17" ht="78" customHeight="1" s="43">
      <c r="A17" s="55" t="inlineStr">
        <is>
          <t>Subtracting native play counts gave a negative number before, because a 'play' is a playback event while a Megaphone 'download' is a de-duplicated file request — different things on different scales. Using Megaphone's own downloads-by-app report, the like-for-like residual is positive: total 9,632 - Apple 6,200 - Spotify 1,003 = 2,429 downloads from all other apps (Chrome, Overcast, Safari, Pocket Casts, and a long tail). Note: this report's total (9,632, through Jul 16) runs ~47 above the daily-downloads tab (9,585, through Jul 15) — one extra day, plus minor rounding.</t>
        </is>
      </c>
      <c r="B17" s="56" t="n"/>
      <c r="C17" s="56" t="n"/>
      <c r="D17" s="56" t="n"/>
      <c r="E17" s="56" t="n"/>
      <c r="F17" s="56" t="n"/>
    </row>
    <row r="19" ht="16.15" customHeight="1" s="43">
      <c r="A19" s="44" t="inlineStr">
        <is>
          <t>Definition sources (platforms' own docs)</t>
        </is>
      </c>
    </row>
    <row r="20" ht="25.5" customHeight="1" s="43">
      <c r="A20" s="57" t="inlineStr">
        <is>
          <t>•  Apple Podcasts Connect — Listener analytics: podcasters.apple.com/support/5392-listener-analytics (Followers, Listeners, Engaged Listeners, Plays, Top Cities).</t>
        </is>
      </c>
    </row>
    <row r="21" ht="25.5" customHeight="1" s="43">
      <c r="A21" s="57" t="inlineStr">
        <is>
          <t>•  Spotify — 'A New Standard for Podcast Plays' (11 Jun 2026): newsroom.spotify.com (Plays = watched/listened &gt;= 30 seconds).</t>
        </is>
      </c>
    </row>
    <row r="22" ht="25.5" customHeight="1" s="43">
      <c r="A22" s="57" t="inlineStr">
        <is>
          <t>•  YouTube Help — Impressions &amp; CTR / key metrics: support.google.com/youtube (Impressions, Impressions CTR, Average view duration, Views, Watch time).</t>
        </is>
      </c>
    </row>
    <row r="23" ht="25.5" customHeight="1" s="43">
      <c r="A23" s="57" t="inlineStr">
        <is>
          <t>•  IAB Tech Lab Podcast Measurement — Megaphone certification (v2.2): compliance.iabtechnologylab.com (Download = a unique file request that was downloaded).</t>
        </is>
      </c>
    </row>
  </sheetData>
  <autoFilter ref="A4:F14"/>
  <mergeCells count="5">
    <mergeCell ref="A23:F23"/>
    <mergeCell ref="A22:F22"/>
    <mergeCell ref="A17:F17"/>
    <mergeCell ref="A20:F20"/>
    <mergeCell ref="A21:F2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C197"/>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2" min="1" max="1"/>
    <col width="13" customWidth="1" style="42" min="2" max="2"/>
    <col width="16" customWidth="1" style="42" min="3" max="3"/>
  </cols>
  <sheetData>
    <row r="1" ht="26.25" customHeight="1" s="43">
      <c r="A1" s="46" t="inlineStr">
        <is>
          <t>Date</t>
        </is>
      </c>
      <c r="B1" s="46" t="inlineStr">
        <is>
          <t>Downloads</t>
        </is>
      </c>
      <c r="C1" s="46" t="inlineStr">
        <is>
          <t>Download reach</t>
        </is>
      </c>
    </row>
    <row r="2" ht="15" customHeight="1" s="43">
      <c r="A2" s="58" t="n">
        <v>46023</v>
      </c>
      <c r="B2" s="59" t="n">
        <v>0</v>
      </c>
      <c r="C2" s="59" t="n">
        <v>0</v>
      </c>
    </row>
    <row r="3" ht="15" customHeight="1" s="43">
      <c r="A3" s="58" t="n">
        <v>46024</v>
      </c>
      <c r="B3" s="59" t="n">
        <v>0</v>
      </c>
      <c r="C3" s="59" t="n">
        <v>0</v>
      </c>
    </row>
    <row r="4" ht="15" customHeight="1" s="43">
      <c r="A4" s="58" t="n">
        <v>46025</v>
      </c>
      <c r="B4" s="59" t="n">
        <v>0</v>
      </c>
      <c r="C4" s="59" t="n">
        <v>0</v>
      </c>
    </row>
    <row r="5" ht="15" customHeight="1" s="43">
      <c r="A5" s="58" t="n">
        <v>46026</v>
      </c>
      <c r="B5" s="59" t="n">
        <v>0</v>
      </c>
      <c r="C5" s="59" t="n">
        <v>0</v>
      </c>
    </row>
    <row r="6" ht="15" customHeight="1" s="43">
      <c r="A6" s="58" t="n">
        <v>46027</v>
      </c>
      <c r="B6" s="59" t="n">
        <v>0</v>
      </c>
      <c r="C6" s="59" t="n">
        <v>0</v>
      </c>
    </row>
    <row r="7" ht="15" customHeight="1" s="43">
      <c r="A7" s="58" t="n">
        <v>46028</v>
      </c>
      <c r="B7" s="59" t="n">
        <v>0</v>
      </c>
      <c r="C7" s="59" t="n">
        <v>0</v>
      </c>
    </row>
    <row r="8" ht="15" customHeight="1" s="43">
      <c r="A8" s="58" t="n">
        <v>46029</v>
      </c>
      <c r="B8" s="59" t="n">
        <v>0</v>
      </c>
      <c r="C8" s="59" t="n">
        <v>0</v>
      </c>
    </row>
    <row r="9" ht="15" customHeight="1" s="43">
      <c r="A9" s="58" t="n">
        <v>46030</v>
      </c>
      <c r="B9" s="59" t="n">
        <v>0</v>
      </c>
      <c r="C9" s="59" t="n">
        <v>0</v>
      </c>
    </row>
    <row r="10" ht="15" customHeight="1" s="43">
      <c r="A10" s="58" t="n">
        <v>46031</v>
      </c>
      <c r="B10" s="59" t="n">
        <v>0</v>
      </c>
      <c r="C10" s="59" t="n">
        <v>0</v>
      </c>
    </row>
    <row r="11" ht="15" customHeight="1" s="43">
      <c r="A11" s="58" t="n">
        <v>46032</v>
      </c>
      <c r="B11" s="59" t="n">
        <v>0</v>
      </c>
      <c r="C11" s="59" t="n">
        <v>0</v>
      </c>
    </row>
    <row r="12" ht="15" customHeight="1" s="43">
      <c r="A12" s="58" t="n">
        <v>46033</v>
      </c>
      <c r="B12" s="59" t="n">
        <v>0</v>
      </c>
      <c r="C12" s="59" t="n">
        <v>0</v>
      </c>
    </row>
    <row r="13" ht="15" customHeight="1" s="43">
      <c r="A13" s="58" t="n">
        <v>46034</v>
      </c>
      <c r="B13" s="59" t="n">
        <v>0</v>
      </c>
      <c r="C13" s="59" t="n">
        <v>0</v>
      </c>
    </row>
    <row r="14" ht="15" customHeight="1" s="43">
      <c r="A14" s="58" t="n">
        <v>46035</v>
      </c>
      <c r="B14" s="59" t="n">
        <v>0</v>
      </c>
      <c r="C14" s="59" t="n">
        <v>0</v>
      </c>
    </row>
    <row r="15" ht="15" customHeight="1" s="43">
      <c r="A15" s="58" t="n">
        <v>46036</v>
      </c>
      <c r="B15" s="59" t="n">
        <v>0</v>
      </c>
      <c r="C15" s="59" t="n">
        <v>0</v>
      </c>
    </row>
    <row r="16" ht="15" customHeight="1" s="43">
      <c r="A16" s="58" t="n">
        <v>46037</v>
      </c>
      <c r="B16" s="59" t="n">
        <v>0</v>
      </c>
      <c r="C16" s="59" t="n">
        <v>0</v>
      </c>
    </row>
    <row r="17" ht="15" customHeight="1" s="43">
      <c r="A17" s="58" t="n">
        <v>46038</v>
      </c>
      <c r="B17" s="59" t="n">
        <v>0</v>
      </c>
      <c r="C17" s="59" t="n">
        <v>0</v>
      </c>
    </row>
    <row r="18" ht="15" customHeight="1" s="43">
      <c r="A18" s="58" t="n">
        <v>46039</v>
      </c>
      <c r="B18" s="59" t="n">
        <v>0</v>
      </c>
      <c r="C18" s="59" t="n">
        <v>0</v>
      </c>
    </row>
    <row r="19" ht="15" customHeight="1" s="43">
      <c r="A19" s="58" t="n">
        <v>46040</v>
      </c>
      <c r="B19" s="59" t="n">
        <v>0</v>
      </c>
      <c r="C19" s="59" t="n">
        <v>0</v>
      </c>
    </row>
    <row r="20" ht="15" customHeight="1" s="43">
      <c r="A20" s="58" t="n">
        <v>46041</v>
      </c>
      <c r="B20" s="59" t="n">
        <v>0</v>
      </c>
      <c r="C20" s="59" t="n">
        <v>0</v>
      </c>
    </row>
    <row r="21" ht="15" customHeight="1" s="43">
      <c r="A21" s="58" t="n">
        <v>46042</v>
      </c>
      <c r="B21" s="59" t="n">
        <v>0</v>
      </c>
      <c r="C21" s="59" t="n">
        <v>0</v>
      </c>
    </row>
    <row r="22" ht="15" customHeight="1" s="43">
      <c r="A22" s="58" t="n">
        <v>46043</v>
      </c>
      <c r="B22" s="59" t="n">
        <v>0</v>
      </c>
      <c r="C22" s="59" t="n">
        <v>0</v>
      </c>
    </row>
    <row r="23" ht="15" customHeight="1" s="43">
      <c r="A23" s="58" t="n">
        <v>46044</v>
      </c>
      <c r="B23" s="59" t="n">
        <v>0</v>
      </c>
      <c r="C23" s="59" t="n">
        <v>0</v>
      </c>
    </row>
    <row r="24" ht="15" customHeight="1" s="43">
      <c r="A24" s="58" t="n">
        <v>46045</v>
      </c>
      <c r="B24" s="59" t="n">
        <v>0</v>
      </c>
      <c r="C24" s="59" t="n">
        <v>0</v>
      </c>
    </row>
    <row r="25" ht="15" customHeight="1" s="43">
      <c r="A25" s="58" t="n">
        <v>46046</v>
      </c>
      <c r="B25" s="59" t="n">
        <v>0</v>
      </c>
      <c r="C25" s="59" t="n">
        <v>0</v>
      </c>
    </row>
    <row r="26" ht="15" customHeight="1" s="43">
      <c r="A26" s="58" t="n">
        <v>46047</v>
      </c>
      <c r="B26" s="59" t="n">
        <v>0</v>
      </c>
      <c r="C26" s="59" t="n">
        <v>0</v>
      </c>
    </row>
    <row r="27" ht="15" customHeight="1" s="43">
      <c r="A27" s="58" t="n">
        <v>46048</v>
      </c>
      <c r="B27" s="59" t="n">
        <v>0</v>
      </c>
      <c r="C27" s="59" t="n">
        <v>0</v>
      </c>
    </row>
    <row r="28" ht="15" customHeight="1" s="43">
      <c r="A28" s="58" t="n">
        <v>46049</v>
      </c>
      <c r="B28" s="59" t="n">
        <v>0</v>
      </c>
      <c r="C28" s="59" t="n">
        <v>0</v>
      </c>
    </row>
    <row r="29" ht="15" customHeight="1" s="43">
      <c r="A29" s="58" t="n">
        <v>46050</v>
      </c>
      <c r="B29" s="59" t="n">
        <v>0</v>
      </c>
      <c r="C29" s="59" t="n">
        <v>0</v>
      </c>
    </row>
    <row r="30" ht="15" customHeight="1" s="43">
      <c r="A30" s="58" t="n">
        <v>46051</v>
      </c>
      <c r="B30" s="59" t="n">
        <v>0</v>
      </c>
      <c r="C30" s="59" t="n">
        <v>0</v>
      </c>
    </row>
    <row r="31" ht="15" customHeight="1" s="43">
      <c r="A31" s="58" t="n">
        <v>46052</v>
      </c>
      <c r="B31" s="59" t="n">
        <v>0</v>
      </c>
      <c r="C31" s="59" t="n">
        <v>0</v>
      </c>
    </row>
    <row r="32" ht="15" customHeight="1" s="43">
      <c r="A32" s="58" t="n">
        <v>46053</v>
      </c>
      <c r="B32" s="59" t="n">
        <v>0</v>
      </c>
      <c r="C32" s="59" t="n">
        <v>0</v>
      </c>
    </row>
    <row r="33" ht="15" customHeight="1" s="43">
      <c r="A33" s="58" t="n">
        <v>46054</v>
      </c>
      <c r="B33" s="59" t="n">
        <v>0</v>
      </c>
      <c r="C33" s="59" t="n">
        <v>0</v>
      </c>
    </row>
    <row r="34" ht="15" customHeight="1" s="43">
      <c r="A34" s="58" t="n">
        <v>46055</v>
      </c>
      <c r="B34" s="59" t="n">
        <v>0</v>
      </c>
      <c r="C34" s="59" t="n">
        <v>0</v>
      </c>
    </row>
    <row r="35" ht="15" customHeight="1" s="43">
      <c r="A35" s="58" t="n">
        <v>46056</v>
      </c>
      <c r="B35" s="59" t="n">
        <v>0</v>
      </c>
      <c r="C35" s="59" t="n">
        <v>0</v>
      </c>
    </row>
    <row r="36" ht="15" customHeight="1" s="43">
      <c r="A36" s="58" t="n">
        <v>46057</v>
      </c>
      <c r="B36" s="59" t="n">
        <v>0</v>
      </c>
      <c r="C36" s="59" t="n">
        <v>0</v>
      </c>
    </row>
    <row r="37" ht="15" customHeight="1" s="43">
      <c r="A37" s="58" t="n">
        <v>46058</v>
      </c>
      <c r="B37" s="59" t="n">
        <v>0</v>
      </c>
      <c r="C37" s="59" t="n">
        <v>0</v>
      </c>
    </row>
    <row r="38" ht="15" customHeight="1" s="43">
      <c r="A38" s="58" t="n">
        <v>46059</v>
      </c>
      <c r="B38" s="59" t="n">
        <v>0</v>
      </c>
      <c r="C38" s="59" t="n">
        <v>0</v>
      </c>
    </row>
    <row r="39" ht="15" customHeight="1" s="43">
      <c r="A39" s="58" t="n">
        <v>46060</v>
      </c>
      <c r="B39" s="59" t="n">
        <v>0</v>
      </c>
      <c r="C39" s="59" t="n">
        <v>0</v>
      </c>
    </row>
    <row r="40" ht="15" customHeight="1" s="43">
      <c r="A40" s="58" t="n">
        <v>46061</v>
      </c>
      <c r="B40" s="59" t="n">
        <v>0</v>
      </c>
      <c r="C40" s="59" t="n">
        <v>0</v>
      </c>
    </row>
    <row r="41" ht="15" customHeight="1" s="43">
      <c r="A41" s="58" t="n">
        <v>46062</v>
      </c>
      <c r="B41" s="59" t="n">
        <v>0</v>
      </c>
      <c r="C41" s="59" t="n">
        <v>0</v>
      </c>
    </row>
    <row r="42" ht="15" customHeight="1" s="43">
      <c r="A42" s="58" t="n">
        <v>46063</v>
      </c>
      <c r="B42" s="59" t="n">
        <v>0</v>
      </c>
      <c r="C42" s="59" t="n">
        <v>0</v>
      </c>
    </row>
    <row r="43" ht="15" customHeight="1" s="43">
      <c r="A43" s="58" t="n">
        <v>46064</v>
      </c>
      <c r="B43" s="59" t="n">
        <v>0</v>
      </c>
      <c r="C43" s="59" t="n">
        <v>0</v>
      </c>
    </row>
    <row r="44" ht="15" customHeight="1" s="43">
      <c r="A44" s="58" t="n">
        <v>46065</v>
      </c>
      <c r="B44" s="59" t="n">
        <v>0</v>
      </c>
      <c r="C44" s="59" t="n">
        <v>0</v>
      </c>
    </row>
    <row r="45" ht="15" customHeight="1" s="43">
      <c r="A45" s="58" t="n">
        <v>46066</v>
      </c>
      <c r="B45" s="59" t="n">
        <v>2</v>
      </c>
      <c r="C45" s="59" t="n">
        <v>2</v>
      </c>
    </row>
    <row r="46" ht="15" customHeight="1" s="43">
      <c r="A46" s="58" t="n">
        <v>46067</v>
      </c>
      <c r="B46" s="59" t="n">
        <v>0</v>
      </c>
      <c r="C46" s="59" t="n">
        <v>0</v>
      </c>
    </row>
    <row r="47" ht="15" customHeight="1" s="43">
      <c r="A47" s="58" t="n">
        <v>46068</v>
      </c>
      <c r="B47" s="59" t="n">
        <v>0</v>
      </c>
      <c r="C47" s="59" t="n">
        <v>0</v>
      </c>
    </row>
    <row r="48" ht="15" customHeight="1" s="43">
      <c r="A48" s="58" t="n">
        <v>46069</v>
      </c>
      <c r="B48" s="59" t="n">
        <v>0</v>
      </c>
      <c r="C48" s="59" t="n">
        <v>0</v>
      </c>
    </row>
    <row r="49" ht="15" customHeight="1" s="43">
      <c r="A49" s="58" t="n">
        <v>46070</v>
      </c>
      <c r="B49" s="59" t="n">
        <v>0</v>
      </c>
      <c r="C49" s="59" t="n">
        <v>0</v>
      </c>
    </row>
    <row r="50" ht="15" customHeight="1" s="43">
      <c r="A50" s="58" t="n">
        <v>46071</v>
      </c>
      <c r="B50" s="59" t="n">
        <v>4</v>
      </c>
      <c r="C50" s="59" t="n">
        <v>2</v>
      </c>
    </row>
    <row r="51" ht="15" customHeight="1" s="43">
      <c r="A51" s="58" t="n">
        <v>46072</v>
      </c>
      <c r="B51" s="59" t="n">
        <v>4</v>
      </c>
      <c r="C51" s="59" t="n">
        <v>1</v>
      </c>
    </row>
    <row r="52" ht="15" customHeight="1" s="43">
      <c r="A52" s="58" t="n">
        <v>46073</v>
      </c>
      <c r="B52" s="59" t="n">
        <v>1</v>
      </c>
      <c r="C52" s="59" t="n">
        <v>1</v>
      </c>
    </row>
    <row r="53" ht="15" customHeight="1" s="43">
      <c r="A53" s="58" t="n">
        <v>46074</v>
      </c>
      <c r="B53" s="59" t="n">
        <v>2</v>
      </c>
      <c r="C53" s="59" t="n">
        <v>1</v>
      </c>
    </row>
    <row r="54" ht="15" customHeight="1" s="43">
      <c r="A54" s="58" t="n">
        <v>46075</v>
      </c>
      <c r="B54" s="59" t="n">
        <v>15</v>
      </c>
      <c r="C54" s="59" t="n">
        <v>6</v>
      </c>
    </row>
    <row r="55" ht="15" customHeight="1" s="43">
      <c r="A55" s="58" t="n">
        <v>46076</v>
      </c>
      <c r="B55" s="59" t="n">
        <v>285</v>
      </c>
      <c r="C55" s="59" t="n">
        <v>153</v>
      </c>
    </row>
    <row r="56" ht="15" customHeight="1" s="43">
      <c r="A56" s="58" t="n">
        <v>46077</v>
      </c>
      <c r="B56" s="59" t="n">
        <v>265</v>
      </c>
      <c r="C56" s="59" t="n">
        <v>163</v>
      </c>
    </row>
    <row r="57" ht="15" customHeight="1" s="43">
      <c r="A57" s="58" t="n">
        <v>46078</v>
      </c>
      <c r="B57" s="59" t="n">
        <v>187</v>
      </c>
      <c r="C57" s="59" t="n">
        <v>109</v>
      </c>
    </row>
    <row r="58" ht="15" customHeight="1" s="43">
      <c r="A58" s="58" t="n">
        <v>46079</v>
      </c>
      <c r="B58" s="59" t="n">
        <v>101</v>
      </c>
      <c r="C58" s="59" t="n">
        <v>62</v>
      </c>
    </row>
    <row r="59" ht="15" customHeight="1" s="43">
      <c r="A59" s="58" t="n">
        <v>46080</v>
      </c>
      <c r="B59" s="59" t="n">
        <v>80</v>
      </c>
      <c r="C59" s="59" t="n">
        <v>51</v>
      </c>
    </row>
    <row r="60" ht="15" customHeight="1" s="43">
      <c r="A60" s="58" t="n">
        <v>46081</v>
      </c>
      <c r="B60" s="59" t="n">
        <v>40</v>
      </c>
      <c r="C60" s="59" t="n">
        <v>23</v>
      </c>
    </row>
    <row r="61" ht="15" customHeight="1" s="43">
      <c r="A61" s="58" t="n">
        <v>46082</v>
      </c>
      <c r="B61" s="59" t="n">
        <v>33</v>
      </c>
      <c r="C61" s="59" t="n">
        <v>23</v>
      </c>
    </row>
    <row r="62" ht="15" customHeight="1" s="43">
      <c r="A62" s="58" t="n">
        <v>46083</v>
      </c>
      <c r="B62" s="59" t="n">
        <v>163</v>
      </c>
      <c r="C62" s="59" t="n">
        <v>134</v>
      </c>
    </row>
    <row r="63" ht="15" customHeight="1" s="43">
      <c r="A63" s="58" t="n">
        <v>46084</v>
      </c>
      <c r="B63" s="59" t="n">
        <v>110</v>
      </c>
      <c r="C63" s="59" t="n">
        <v>79</v>
      </c>
    </row>
    <row r="64" ht="15" customHeight="1" s="43">
      <c r="A64" s="58" t="n">
        <v>46085</v>
      </c>
      <c r="B64" s="59" t="n">
        <v>60</v>
      </c>
      <c r="C64" s="59" t="n">
        <v>44</v>
      </c>
    </row>
    <row r="65" ht="15" customHeight="1" s="43">
      <c r="A65" s="58" t="n">
        <v>46086</v>
      </c>
      <c r="B65" s="59" t="n">
        <v>68</v>
      </c>
      <c r="C65" s="59" t="n">
        <v>47</v>
      </c>
    </row>
    <row r="66" ht="15" customHeight="1" s="43">
      <c r="A66" s="58" t="n">
        <v>46087</v>
      </c>
      <c r="B66" s="59" t="n">
        <v>107</v>
      </c>
      <c r="C66" s="59" t="n">
        <v>72</v>
      </c>
    </row>
    <row r="67" ht="15" customHeight="1" s="43">
      <c r="A67" s="58" t="n">
        <v>46088</v>
      </c>
      <c r="B67" s="59" t="n">
        <v>60</v>
      </c>
      <c r="C67" s="59" t="n">
        <v>47</v>
      </c>
    </row>
    <row r="68" ht="15" customHeight="1" s="43">
      <c r="A68" s="58" t="n">
        <v>46089</v>
      </c>
      <c r="B68" s="59" t="n">
        <v>36</v>
      </c>
      <c r="C68" s="59" t="n">
        <v>30</v>
      </c>
    </row>
    <row r="69" ht="15" customHeight="1" s="43">
      <c r="A69" s="58" t="n">
        <v>46090</v>
      </c>
      <c r="B69" s="59" t="n">
        <v>193</v>
      </c>
      <c r="C69" s="59" t="n">
        <v>143</v>
      </c>
    </row>
    <row r="70" ht="15" customHeight="1" s="43">
      <c r="A70" s="58" t="n">
        <v>46091</v>
      </c>
      <c r="B70" s="59" t="n">
        <v>155</v>
      </c>
      <c r="C70" s="59" t="n">
        <v>123</v>
      </c>
    </row>
    <row r="71" ht="15" customHeight="1" s="43">
      <c r="A71" s="58" t="n">
        <v>46092</v>
      </c>
      <c r="B71" s="59" t="n">
        <v>226</v>
      </c>
      <c r="C71" s="59" t="n">
        <v>176</v>
      </c>
    </row>
    <row r="72" ht="15" customHeight="1" s="43">
      <c r="A72" s="58" t="n">
        <v>46093</v>
      </c>
      <c r="B72" s="59" t="n">
        <v>68</v>
      </c>
      <c r="C72" s="59" t="n">
        <v>52</v>
      </c>
    </row>
    <row r="73" ht="15" customHeight="1" s="43">
      <c r="A73" s="58" t="n">
        <v>46094</v>
      </c>
      <c r="B73" s="59" t="n">
        <v>93</v>
      </c>
      <c r="C73" s="59" t="n">
        <v>55</v>
      </c>
    </row>
    <row r="74" ht="15" customHeight="1" s="43">
      <c r="A74" s="58" t="n">
        <v>46095</v>
      </c>
      <c r="B74" s="59" t="n">
        <v>55</v>
      </c>
      <c r="C74" s="59" t="n">
        <v>40</v>
      </c>
    </row>
    <row r="75" ht="15" customHeight="1" s="43">
      <c r="A75" s="58" t="n">
        <v>46096</v>
      </c>
      <c r="B75" s="59" t="n">
        <v>34</v>
      </c>
      <c r="C75" s="59" t="n">
        <v>26</v>
      </c>
    </row>
    <row r="76" ht="15" customHeight="1" s="43">
      <c r="A76" s="58" t="n">
        <v>46097</v>
      </c>
      <c r="B76" s="59" t="n">
        <v>49</v>
      </c>
      <c r="C76" s="59" t="n">
        <v>31</v>
      </c>
    </row>
    <row r="77" ht="15" customHeight="1" s="43">
      <c r="A77" s="58" t="n">
        <v>46098</v>
      </c>
      <c r="B77" s="59" t="n">
        <v>204</v>
      </c>
      <c r="C77" s="59" t="n">
        <v>154</v>
      </c>
    </row>
    <row r="78" ht="15" customHeight="1" s="43">
      <c r="A78" s="58" t="n">
        <v>46099</v>
      </c>
      <c r="B78" s="59" t="n">
        <v>107</v>
      </c>
      <c r="C78" s="59" t="n">
        <v>73</v>
      </c>
    </row>
    <row r="79" ht="15" customHeight="1" s="43">
      <c r="A79" s="58" t="n">
        <v>46100</v>
      </c>
      <c r="B79" s="59" t="n">
        <v>77</v>
      </c>
      <c r="C79" s="59" t="n">
        <v>43</v>
      </c>
    </row>
    <row r="80" ht="15" customHeight="1" s="43">
      <c r="A80" s="58" t="n">
        <v>46101</v>
      </c>
      <c r="B80" s="59" t="n">
        <v>170</v>
      </c>
      <c r="C80" s="59" t="n">
        <v>98</v>
      </c>
    </row>
    <row r="81" ht="15" customHeight="1" s="43">
      <c r="A81" s="58" t="n">
        <v>46102</v>
      </c>
      <c r="B81" s="59" t="n">
        <v>147</v>
      </c>
      <c r="C81" s="59" t="n">
        <v>94</v>
      </c>
    </row>
    <row r="82" ht="15" customHeight="1" s="43">
      <c r="A82" s="58" t="n">
        <v>46103</v>
      </c>
      <c r="B82" s="59" t="n">
        <v>86</v>
      </c>
      <c r="C82" s="59" t="n">
        <v>57</v>
      </c>
    </row>
    <row r="83" ht="15" customHeight="1" s="43">
      <c r="A83" s="58" t="n">
        <v>46104</v>
      </c>
      <c r="B83" s="59" t="n">
        <v>46</v>
      </c>
      <c r="C83" s="59" t="n">
        <v>35</v>
      </c>
    </row>
    <row r="84" ht="15" customHeight="1" s="43">
      <c r="A84" s="58" t="n">
        <v>46105</v>
      </c>
      <c r="B84" s="59" t="n">
        <v>40</v>
      </c>
      <c r="C84" s="59" t="n">
        <v>33</v>
      </c>
    </row>
    <row r="85" ht="15" customHeight="1" s="43">
      <c r="A85" s="58" t="n">
        <v>46106</v>
      </c>
      <c r="B85" s="59" t="n">
        <v>48</v>
      </c>
      <c r="C85" s="59" t="n">
        <v>30</v>
      </c>
    </row>
    <row r="86" ht="15" customHeight="1" s="43">
      <c r="A86" s="58" t="n">
        <v>46107</v>
      </c>
      <c r="B86" s="59" t="n">
        <v>49</v>
      </c>
      <c r="C86" s="59" t="n">
        <v>30</v>
      </c>
    </row>
    <row r="87" ht="15" customHeight="1" s="43">
      <c r="A87" s="58" t="n">
        <v>46108</v>
      </c>
      <c r="B87" s="59" t="n">
        <v>49</v>
      </c>
      <c r="C87" s="59" t="n">
        <v>28</v>
      </c>
    </row>
    <row r="88" ht="15" customHeight="1" s="43">
      <c r="A88" s="58" t="n">
        <v>46109</v>
      </c>
      <c r="B88" s="59" t="n">
        <v>20</v>
      </c>
      <c r="C88" s="59" t="n">
        <v>13</v>
      </c>
    </row>
    <row r="89" ht="15" customHeight="1" s="43">
      <c r="A89" s="58" t="n">
        <v>46110</v>
      </c>
      <c r="B89" s="59" t="n">
        <v>22</v>
      </c>
      <c r="C89" s="59" t="n">
        <v>15</v>
      </c>
    </row>
    <row r="90" ht="15" customHeight="1" s="43">
      <c r="A90" s="58" t="n">
        <v>46111</v>
      </c>
      <c r="B90" s="59" t="n">
        <v>52</v>
      </c>
      <c r="C90" s="59" t="n">
        <v>29</v>
      </c>
    </row>
    <row r="91" ht="15" customHeight="1" s="43">
      <c r="A91" s="58" t="n">
        <v>46112</v>
      </c>
      <c r="B91" s="59" t="n">
        <v>55</v>
      </c>
      <c r="C91" s="59" t="n">
        <v>30</v>
      </c>
    </row>
    <row r="92" ht="15" customHeight="1" s="43">
      <c r="A92" s="58" t="n">
        <v>46113</v>
      </c>
      <c r="B92" s="59" t="n">
        <v>49</v>
      </c>
      <c r="C92" s="59" t="n">
        <v>24</v>
      </c>
    </row>
    <row r="93" ht="15" customHeight="1" s="43">
      <c r="A93" s="58" t="n">
        <v>46114</v>
      </c>
      <c r="B93" s="59" t="n">
        <v>44</v>
      </c>
      <c r="C93" s="59" t="n">
        <v>21</v>
      </c>
    </row>
    <row r="94" ht="15" customHeight="1" s="43">
      <c r="A94" s="58" t="n">
        <v>46115</v>
      </c>
      <c r="B94" s="59" t="n">
        <v>31</v>
      </c>
      <c r="C94" s="59" t="n">
        <v>17</v>
      </c>
    </row>
    <row r="95" ht="15" customHeight="1" s="43">
      <c r="A95" s="58" t="n">
        <v>46116</v>
      </c>
      <c r="B95" s="59" t="n">
        <v>14</v>
      </c>
      <c r="C95" s="59" t="n">
        <v>8</v>
      </c>
    </row>
    <row r="96" ht="15" customHeight="1" s="43">
      <c r="A96" s="58" t="n">
        <v>46117</v>
      </c>
      <c r="B96" s="59" t="n">
        <v>19</v>
      </c>
      <c r="C96" s="59" t="n">
        <v>15</v>
      </c>
    </row>
    <row r="97" ht="15" customHeight="1" s="43">
      <c r="A97" s="58" t="n">
        <v>46118</v>
      </c>
      <c r="B97" s="59" t="n">
        <v>42</v>
      </c>
      <c r="C97" s="59" t="n">
        <v>24</v>
      </c>
    </row>
    <row r="98" ht="15" customHeight="1" s="43">
      <c r="A98" s="58" t="n">
        <v>46119</v>
      </c>
      <c r="B98" s="59" t="n">
        <v>36</v>
      </c>
      <c r="C98" s="59" t="n">
        <v>12</v>
      </c>
    </row>
    <row r="99" ht="15" customHeight="1" s="43">
      <c r="A99" s="58" t="n">
        <v>46120</v>
      </c>
      <c r="B99" s="59" t="n">
        <v>33</v>
      </c>
      <c r="C99" s="59" t="n">
        <v>14</v>
      </c>
    </row>
    <row r="100" ht="15" customHeight="1" s="43">
      <c r="A100" s="58" t="n">
        <v>46121</v>
      </c>
      <c r="B100" s="59" t="n">
        <v>29</v>
      </c>
      <c r="C100" s="59" t="n">
        <v>15</v>
      </c>
    </row>
    <row r="101" ht="15" customHeight="1" s="43">
      <c r="A101" s="58" t="n">
        <v>46122</v>
      </c>
      <c r="B101" s="59" t="n">
        <v>72</v>
      </c>
      <c r="C101" s="59" t="n">
        <v>46</v>
      </c>
    </row>
    <row r="102" ht="15" customHeight="1" s="43">
      <c r="A102" s="58" t="n">
        <v>46123</v>
      </c>
      <c r="B102" s="59" t="n">
        <v>73</v>
      </c>
      <c r="C102" s="59" t="n">
        <v>46</v>
      </c>
    </row>
    <row r="103" ht="15" customHeight="1" s="43">
      <c r="A103" s="58" t="n">
        <v>46124</v>
      </c>
      <c r="B103" s="59" t="n">
        <v>55</v>
      </c>
      <c r="C103" s="59" t="n">
        <v>39</v>
      </c>
    </row>
    <row r="104" ht="15" customHeight="1" s="43">
      <c r="A104" s="58" t="n">
        <v>46125</v>
      </c>
      <c r="B104" s="59" t="n">
        <v>68</v>
      </c>
      <c r="C104" s="59" t="n">
        <v>53</v>
      </c>
    </row>
    <row r="105" ht="15" customHeight="1" s="43">
      <c r="A105" s="58" t="n">
        <v>46126</v>
      </c>
      <c r="B105" s="59" t="n">
        <v>47</v>
      </c>
      <c r="C105" s="59" t="n">
        <v>34</v>
      </c>
    </row>
    <row r="106" ht="15" customHeight="1" s="43">
      <c r="A106" s="58" t="n">
        <v>46127</v>
      </c>
      <c r="B106" s="59" t="n">
        <v>43</v>
      </c>
      <c r="C106" s="59" t="n">
        <v>29</v>
      </c>
    </row>
    <row r="107" ht="15" customHeight="1" s="43">
      <c r="A107" s="58" t="n">
        <v>46128</v>
      </c>
      <c r="B107" s="59" t="n">
        <v>40</v>
      </c>
      <c r="C107" s="59" t="n">
        <v>22</v>
      </c>
    </row>
    <row r="108" ht="15" customHeight="1" s="43">
      <c r="A108" s="58" t="n">
        <v>46129</v>
      </c>
      <c r="B108" s="59" t="n">
        <v>23</v>
      </c>
      <c r="C108" s="59" t="n">
        <v>16</v>
      </c>
    </row>
    <row r="109" ht="15" customHeight="1" s="43">
      <c r="A109" s="58" t="n">
        <v>46130</v>
      </c>
      <c r="B109" s="59" t="n">
        <v>24</v>
      </c>
      <c r="C109" s="59" t="n">
        <v>16</v>
      </c>
    </row>
    <row r="110" ht="15" customHeight="1" s="43">
      <c r="A110" s="58" t="n">
        <v>46131</v>
      </c>
      <c r="B110" s="59" t="n">
        <v>22</v>
      </c>
      <c r="C110" s="59" t="n">
        <v>8</v>
      </c>
    </row>
    <row r="111" ht="15" customHeight="1" s="43">
      <c r="A111" s="58" t="n">
        <v>46132</v>
      </c>
      <c r="B111" s="59" t="n">
        <v>34</v>
      </c>
      <c r="C111" s="59" t="n">
        <v>18</v>
      </c>
    </row>
    <row r="112" ht="15" customHeight="1" s="43">
      <c r="A112" s="58" t="n">
        <v>46133</v>
      </c>
      <c r="B112" s="59" t="n">
        <v>30</v>
      </c>
      <c r="C112" s="59" t="n">
        <v>17</v>
      </c>
    </row>
    <row r="113" ht="15" customHeight="1" s="43">
      <c r="A113" s="58" t="n">
        <v>46134</v>
      </c>
      <c r="B113" s="59" t="n">
        <v>40</v>
      </c>
      <c r="C113" s="59" t="n">
        <v>23</v>
      </c>
    </row>
    <row r="114" ht="15" customHeight="1" s="43">
      <c r="A114" s="58" t="n">
        <v>46135</v>
      </c>
      <c r="B114" s="59" t="n">
        <v>43</v>
      </c>
      <c r="C114" s="59" t="n">
        <v>27</v>
      </c>
    </row>
    <row r="115" ht="15" customHeight="1" s="43">
      <c r="A115" s="58" t="n">
        <v>46136</v>
      </c>
      <c r="B115" s="59" t="n">
        <v>39</v>
      </c>
      <c r="C115" s="59" t="n">
        <v>21</v>
      </c>
    </row>
    <row r="116" ht="15" customHeight="1" s="43">
      <c r="A116" s="58" t="n">
        <v>46137</v>
      </c>
      <c r="B116" s="59" t="n">
        <v>13</v>
      </c>
      <c r="C116" s="59" t="n">
        <v>10</v>
      </c>
    </row>
    <row r="117" ht="15" customHeight="1" s="43">
      <c r="A117" s="58" t="n">
        <v>46138</v>
      </c>
      <c r="B117" s="59" t="n">
        <v>19</v>
      </c>
      <c r="C117" s="59" t="n">
        <v>10</v>
      </c>
    </row>
    <row r="118" ht="15" customHeight="1" s="43">
      <c r="A118" s="58" t="n">
        <v>46139</v>
      </c>
      <c r="B118" s="59" t="n">
        <v>28</v>
      </c>
      <c r="C118" s="59" t="n">
        <v>12</v>
      </c>
    </row>
    <row r="119" ht="15" customHeight="1" s="43">
      <c r="A119" s="58" t="n">
        <v>46140</v>
      </c>
      <c r="B119" s="59" t="n">
        <v>33</v>
      </c>
      <c r="C119" s="59" t="n">
        <v>18</v>
      </c>
    </row>
    <row r="120" ht="15" customHeight="1" s="43">
      <c r="A120" s="58" t="n">
        <v>46141</v>
      </c>
      <c r="B120" s="59" t="n">
        <v>35</v>
      </c>
      <c r="C120" s="59" t="n">
        <v>18</v>
      </c>
    </row>
    <row r="121" ht="15" customHeight="1" s="43">
      <c r="A121" s="58" t="n">
        <v>46142</v>
      </c>
      <c r="B121" s="59" t="n">
        <v>30</v>
      </c>
      <c r="C121" s="59" t="n">
        <v>12</v>
      </c>
    </row>
    <row r="122" ht="15" customHeight="1" s="43">
      <c r="A122" s="58" t="n">
        <v>46143</v>
      </c>
      <c r="B122" s="59" t="n">
        <v>22</v>
      </c>
      <c r="C122" s="59" t="n">
        <v>9</v>
      </c>
    </row>
    <row r="123" ht="15" customHeight="1" s="43">
      <c r="A123" s="58" t="n">
        <v>46144</v>
      </c>
      <c r="B123" s="59" t="n">
        <v>19</v>
      </c>
      <c r="C123" s="59" t="n">
        <v>16</v>
      </c>
    </row>
    <row r="124" ht="15" customHeight="1" s="43">
      <c r="A124" s="58" t="n">
        <v>46145</v>
      </c>
      <c r="B124" s="59" t="n">
        <v>18</v>
      </c>
      <c r="C124" s="59" t="n">
        <v>7</v>
      </c>
    </row>
    <row r="125" ht="15" customHeight="1" s="43">
      <c r="A125" s="58" t="n">
        <v>46146</v>
      </c>
      <c r="B125" s="59" t="n">
        <v>20</v>
      </c>
      <c r="C125" s="59" t="n">
        <v>9</v>
      </c>
    </row>
    <row r="126" ht="15" customHeight="1" s="43">
      <c r="A126" s="58" t="n">
        <v>46147</v>
      </c>
      <c r="B126" s="59" t="n">
        <v>46</v>
      </c>
      <c r="C126" s="59" t="n">
        <v>24</v>
      </c>
    </row>
    <row r="127" ht="15" customHeight="1" s="43">
      <c r="A127" s="58" t="n">
        <v>46148</v>
      </c>
      <c r="B127" s="59" t="n">
        <v>43</v>
      </c>
      <c r="C127" s="59" t="n">
        <v>28</v>
      </c>
    </row>
    <row r="128" ht="15" customHeight="1" s="43">
      <c r="A128" s="58" t="n">
        <v>46149</v>
      </c>
      <c r="B128" s="59" t="n">
        <v>27</v>
      </c>
      <c r="C128" s="59" t="n">
        <v>15</v>
      </c>
    </row>
    <row r="129" ht="15" customHeight="1" s="43">
      <c r="A129" s="58" t="n">
        <v>46150</v>
      </c>
      <c r="B129" s="59" t="n">
        <v>17</v>
      </c>
      <c r="C129" s="59" t="n">
        <v>10</v>
      </c>
    </row>
    <row r="130" ht="15" customHeight="1" s="43">
      <c r="A130" s="58" t="n">
        <v>46151</v>
      </c>
      <c r="B130" s="59" t="n">
        <v>19</v>
      </c>
      <c r="C130" s="59" t="n">
        <v>7</v>
      </c>
    </row>
    <row r="131" ht="15" customHeight="1" s="43">
      <c r="A131" s="58" t="n">
        <v>46152</v>
      </c>
      <c r="B131" s="59" t="n">
        <v>20</v>
      </c>
      <c r="C131" s="59" t="n">
        <v>13</v>
      </c>
    </row>
    <row r="132" ht="15" customHeight="1" s="43">
      <c r="A132" s="58" t="n">
        <v>46153</v>
      </c>
      <c r="B132" s="59" t="n">
        <v>15</v>
      </c>
      <c r="C132" s="59" t="n">
        <v>7</v>
      </c>
    </row>
    <row r="133" ht="15" customHeight="1" s="43">
      <c r="A133" s="58" t="n">
        <v>46154</v>
      </c>
      <c r="B133" s="59" t="n">
        <v>25</v>
      </c>
      <c r="C133" s="59" t="n">
        <v>13</v>
      </c>
    </row>
    <row r="134" ht="15" customHeight="1" s="43">
      <c r="A134" s="58" t="n">
        <v>46155</v>
      </c>
      <c r="B134" s="59" t="n">
        <v>21</v>
      </c>
      <c r="C134" s="59" t="n">
        <v>17</v>
      </c>
    </row>
    <row r="135" ht="15" customHeight="1" s="43">
      <c r="A135" s="58" t="n">
        <v>46156</v>
      </c>
      <c r="B135" s="59" t="n">
        <v>18</v>
      </c>
      <c r="C135" s="59" t="n">
        <v>8</v>
      </c>
    </row>
    <row r="136" ht="15" customHeight="1" s="43">
      <c r="A136" s="58" t="n">
        <v>46157</v>
      </c>
      <c r="B136" s="59" t="n">
        <v>18</v>
      </c>
      <c r="C136" s="59" t="n">
        <v>8</v>
      </c>
    </row>
    <row r="137" ht="15" customHeight="1" s="43">
      <c r="A137" s="58" t="n">
        <v>46158</v>
      </c>
      <c r="B137" s="59" t="n">
        <v>8</v>
      </c>
      <c r="C137" s="59" t="n">
        <v>7</v>
      </c>
    </row>
    <row r="138" ht="15" customHeight="1" s="43">
      <c r="A138" s="58" t="n">
        <v>46159</v>
      </c>
      <c r="B138" s="59" t="n">
        <v>10</v>
      </c>
      <c r="C138" s="59" t="n">
        <v>7</v>
      </c>
    </row>
    <row r="139" ht="15" customHeight="1" s="43">
      <c r="A139" s="58" t="n">
        <v>46160</v>
      </c>
      <c r="B139" s="59" t="n">
        <v>19</v>
      </c>
      <c r="C139" s="59" t="n">
        <v>11</v>
      </c>
    </row>
    <row r="140" ht="15" customHeight="1" s="43">
      <c r="A140" s="58" t="n">
        <v>46161</v>
      </c>
      <c r="B140" s="59" t="n">
        <v>12</v>
      </c>
      <c r="C140" s="59" t="n">
        <v>6</v>
      </c>
    </row>
    <row r="141" ht="15" customHeight="1" s="43">
      <c r="A141" s="58" t="n">
        <v>46162</v>
      </c>
      <c r="B141" s="59" t="n">
        <v>19</v>
      </c>
      <c r="C141" s="59" t="n">
        <v>9</v>
      </c>
    </row>
    <row r="142" ht="15" customHeight="1" s="43">
      <c r="A142" s="58" t="n">
        <v>46163</v>
      </c>
      <c r="B142" s="59" t="n">
        <v>21</v>
      </c>
      <c r="C142" s="59" t="n">
        <v>6</v>
      </c>
    </row>
    <row r="143" ht="15" customHeight="1" s="43">
      <c r="A143" s="58" t="n">
        <v>46164</v>
      </c>
      <c r="B143" s="59" t="n">
        <v>19</v>
      </c>
      <c r="C143" s="59" t="n">
        <v>8</v>
      </c>
    </row>
    <row r="144" ht="15" customHeight="1" s="43">
      <c r="A144" s="58" t="n">
        <v>46165</v>
      </c>
      <c r="B144" s="59" t="n">
        <v>18</v>
      </c>
      <c r="C144" s="59" t="n">
        <v>10</v>
      </c>
    </row>
    <row r="145" ht="15" customHeight="1" s="43">
      <c r="A145" s="58" t="n">
        <v>46166</v>
      </c>
      <c r="B145" s="59" t="n">
        <v>21</v>
      </c>
      <c r="C145" s="59" t="n">
        <v>16</v>
      </c>
    </row>
    <row r="146" ht="15" customHeight="1" s="43">
      <c r="A146" s="58" t="n">
        <v>46167</v>
      </c>
      <c r="B146" s="59" t="n">
        <v>304</v>
      </c>
      <c r="C146" s="59" t="n">
        <v>182</v>
      </c>
    </row>
    <row r="147" ht="15" customHeight="1" s="43">
      <c r="A147" s="58" t="n">
        <v>46168</v>
      </c>
      <c r="B147" s="59" t="n">
        <v>354</v>
      </c>
      <c r="C147" s="59" t="n">
        <v>280</v>
      </c>
    </row>
    <row r="148" ht="15" customHeight="1" s="43">
      <c r="A148" s="58" t="n">
        <v>46169</v>
      </c>
      <c r="B148" s="59" t="n">
        <v>218</v>
      </c>
      <c r="C148" s="59" t="n">
        <v>185</v>
      </c>
    </row>
    <row r="149" ht="15" customHeight="1" s="43">
      <c r="A149" s="58" t="n">
        <v>46170</v>
      </c>
      <c r="B149" s="59" t="n">
        <v>134</v>
      </c>
      <c r="C149" s="59" t="n">
        <v>89</v>
      </c>
    </row>
    <row r="150" ht="15" customHeight="1" s="43">
      <c r="A150" s="58" t="n">
        <v>46171</v>
      </c>
      <c r="B150" s="59" t="n">
        <v>97</v>
      </c>
      <c r="C150" s="59" t="n">
        <v>64</v>
      </c>
    </row>
    <row r="151" ht="15" customHeight="1" s="43">
      <c r="A151" s="58" t="n">
        <v>46172</v>
      </c>
      <c r="B151" s="59" t="n">
        <v>55</v>
      </c>
      <c r="C151" s="59" t="n">
        <v>37</v>
      </c>
    </row>
    <row r="152" ht="15" customHeight="1" s="43">
      <c r="A152" s="58" t="n">
        <v>46173</v>
      </c>
      <c r="B152" s="59" t="n">
        <v>56</v>
      </c>
      <c r="C152" s="59" t="n">
        <v>38</v>
      </c>
    </row>
    <row r="153" ht="15" customHeight="1" s="43">
      <c r="A153" s="58" t="n">
        <v>46174</v>
      </c>
      <c r="B153" s="59" t="n">
        <v>50</v>
      </c>
      <c r="C153" s="59" t="n">
        <v>32</v>
      </c>
    </row>
    <row r="154" ht="15" customHeight="1" s="43">
      <c r="A154" s="58" t="n">
        <v>46175</v>
      </c>
      <c r="B154" s="59" t="n">
        <v>46</v>
      </c>
      <c r="C154" s="59" t="n">
        <v>32</v>
      </c>
    </row>
    <row r="155" ht="15" customHeight="1" s="43">
      <c r="A155" s="58" t="n">
        <v>46176</v>
      </c>
      <c r="B155" s="59" t="n">
        <v>269</v>
      </c>
      <c r="C155" s="59" t="n">
        <v>221</v>
      </c>
    </row>
    <row r="156" ht="15" customHeight="1" s="43">
      <c r="A156" s="58" t="n">
        <v>46177</v>
      </c>
      <c r="B156" s="59" t="n">
        <v>185</v>
      </c>
      <c r="C156" s="59" t="n">
        <v>160</v>
      </c>
    </row>
    <row r="157" ht="15" customHeight="1" s="43">
      <c r="A157" s="58" t="n">
        <v>46178</v>
      </c>
      <c r="B157" s="59" t="n">
        <v>101</v>
      </c>
      <c r="C157" s="59" t="n">
        <v>62</v>
      </c>
    </row>
    <row r="158" ht="15" customHeight="1" s="43">
      <c r="A158" s="58" t="n">
        <v>46179</v>
      </c>
      <c r="B158" s="59" t="n">
        <v>42</v>
      </c>
      <c r="C158" s="59" t="n">
        <v>25</v>
      </c>
    </row>
    <row r="159" ht="15" customHeight="1" s="43">
      <c r="A159" s="58" t="n">
        <v>46180</v>
      </c>
      <c r="B159" s="59" t="n">
        <v>50</v>
      </c>
      <c r="C159" s="59" t="n">
        <v>37</v>
      </c>
    </row>
    <row r="160" ht="15" customHeight="1" s="43">
      <c r="A160" s="58" t="n">
        <v>46181</v>
      </c>
      <c r="B160" s="59" t="n">
        <v>72</v>
      </c>
      <c r="C160" s="59" t="n">
        <v>34</v>
      </c>
    </row>
    <row r="161" ht="15" customHeight="1" s="43">
      <c r="A161" s="58" t="n">
        <v>46182</v>
      </c>
      <c r="B161" s="59" t="n">
        <v>58</v>
      </c>
      <c r="C161" s="59" t="n">
        <v>36</v>
      </c>
    </row>
    <row r="162" ht="15" customHeight="1" s="43">
      <c r="A162" s="58" t="n">
        <v>46183</v>
      </c>
      <c r="B162" s="59" t="n">
        <v>61</v>
      </c>
      <c r="C162" s="59" t="n">
        <v>25</v>
      </c>
    </row>
    <row r="163" ht="15" customHeight="1" s="43">
      <c r="A163" s="58" t="n">
        <v>46184</v>
      </c>
      <c r="B163" s="59" t="n">
        <v>50</v>
      </c>
      <c r="C163" s="59" t="n">
        <v>22</v>
      </c>
    </row>
    <row r="164" ht="15" customHeight="1" s="43">
      <c r="A164" s="58" t="n">
        <v>46185</v>
      </c>
      <c r="B164" s="59" t="n">
        <v>38</v>
      </c>
      <c r="C164" s="59" t="n">
        <v>21</v>
      </c>
    </row>
    <row r="165" ht="15" customHeight="1" s="43">
      <c r="A165" s="58" t="n">
        <v>46186</v>
      </c>
      <c r="B165" s="59" t="n">
        <v>16</v>
      </c>
      <c r="C165" s="59" t="n">
        <v>10</v>
      </c>
    </row>
    <row r="166" ht="15" customHeight="1" s="43">
      <c r="A166" s="58" t="n">
        <v>46187</v>
      </c>
      <c r="B166" s="59" t="n">
        <v>15</v>
      </c>
      <c r="C166" s="59" t="n">
        <v>9</v>
      </c>
    </row>
    <row r="167" ht="15" customHeight="1" s="43">
      <c r="A167" s="58" t="n">
        <v>46188</v>
      </c>
      <c r="B167" s="59" t="n">
        <v>24</v>
      </c>
      <c r="C167" s="59" t="n">
        <v>15</v>
      </c>
    </row>
    <row r="168" ht="15" customHeight="1" s="43">
      <c r="A168" s="58" t="n">
        <v>46189</v>
      </c>
      <c r="B168" s="59" t="n">
        <v>46</v>
      </c>
      <c r="C168" s="59" t="n">
        <v>25</v>
      </c>
    </row>
    <row r="169" ht="15" customHeight="1" s="43">
      <c r="A169" s="58" t="n">
        <v>46190</v>
      </c>
      <c r="B169" s="59" t="n">
        <v>33</v>
      </c>
      <c r="C169" s="59" t="n">
        <v>15</v>
      </c>
    </row>
    <row r="170" ht="15" customHeight="1" s="43">
      <c r="A170" s="58" t="n">
        <v>46191</v>
      </c>
      <c r="B170" s="59" t="n">
        <v>32</v>
      </c>
      <c r="C170" s="59" t="n">
        <v>14</v>
      </c>
    </row>
    <row r="171" ht="15" customHeight="1" s="43">
      <c r="A171" s="58" t="n">
        <v>46192</v>
      </c>
      <c r="B171" s="59" t="n">
        <v>300</v>
      </c>
      <c r="C171" s="59" t="n">
        <v>264</v>
      </c>
    </row>
    <row r="172" ht="15" customHeight="1" s="43">
      <c r="A172" s="58" t="n">
        <v>46193</v>
      </c>
      <c r="B172" s="59" t="n">
        <v>88</v>
      </c>
      <c r="C172" s="59" t="n">
        <v>74</v>
      </c>
    </row>
    <row r="173" ht="15" customHeight="1" s="43">
      <c r="A173" s="58" t="n">
        <v>46194</v>
      </c>
      <c r="B173" s="59" t="n">
        <v>68</v>
      </c>
      <c r="C173" s="59" t="n">
        <v>53</v>
      </c>
    </row>
    <row r="174" ht="15" customHeight="1" s="43">
      <c r="A174" s="58" t="n">
        <v>46195</v>
      </c>
      <c r="B174" s="59" t="n">
        <v>88</v>
      </c>
      <c r="C174" s="59" t="n">
        <v>64</v>
      </c>
    </row>
    <row r="175" ht="15" customHeight="1" s="43">
      <c r="A175" s="58" t="n">
        <v>46196</v>
      </c>
      <c r="B175" s="59" t="n">
        <v>86</v>
      </c>
      <c r="C175" s="59" t="n">
        <v>53</v>
      </c>
    </row>
    <row r="176" ht="15" customHeight="1" s="43">
      <c r="A176" s="58" t="n">
        <v>46197</v>
      </c>
      <c r="B176" s="59" t="n">
        <v>80</v>
      </c>
      <c r="C176" s="59" t="n">
        <v>49</v>
      </c>
    </row>
    <row r="177" ht="15" customHeight="1" s="43">
      <c r="A177" s="58" t="n">
        <v>46198</v>
      </c>
      <c r="B177" s="59" t="n">
        <v>44</v>
      </c>
      <c r="C177" s="59" t="n">
        <v>31</v>
      </c>
    </row>
    <row r="178" ht="15" customHeight="1" s="43">
      <c r="A178" s="58" t="n">
        <v>46199</v>
      </c>
      <c r="B178" s="59" t="n">
        <v>30</v>
      </c>
      <c r="C178" s="59" t="n">
        <v>19</v>
      </c>
    </row>
    <row r="179" ht="15" customHeight="1" s="43">
      <c r="A179" s="58" t="n">
        <v>46200</v>
      </c>
      <c r="B179" s="59" t="n">
        <v>17</v>
      </c>
      <c r="C179" s="59" t="n">
        <v>10</v>
      </c>
    </row>
    <row r="180" ht="15" customHeight="1" s="43">
      <c r="A180" s="58" t="n">
        <v>46201</v>
      </c>
      <c r="B180" s="59" t="n">
        <v>25</v>
      </c>
      <c r="C180" s="59" t="n">
        <v>22</v>
      </c>
    </row>
    <row r="181" ht="15" customHeight="1" s="43">
      <c r="A181" s="58" t="n">
        <v>46202</v>
      </c>
      <c r="B181" s="59" t="n">
        <v>47</v>
      </c>
      <c r="C181" s="59" t="n">
        <v>25</v>
      </c>
    </row>
    <row r="182" ht="15" customHeight="1" s="43">
      <c r="A182" s="58" t="n">
        <v>46203</v>
      </c>
      <c r="B182" s="59" t="n">
        <v>355</v>
      </c>
      <c r="C182" s="59" t="n">
        <v>290</v>
      </c>
    </row>
    <row r="183" ht="15" customHeight="1" s="43">
      <c r="A183" s="58" t="n">
        <v>46204</v>
      </c>
      <c r="B183" s="59" t="n">
        <v>120</v>
      </c>
      <c r="C183" s="59" t="n">
        <v>84</v>
      </c>
    </row>
    <row r="184" ht="15" customHeight="1" s="43">
      <c r="A184" s="58" t="n">
        <v>46205</v>
      </c>
      <c r="B184" s="59" t="n">
        <v>109</v>
      </c>
      <c r="C184" s="59" t="n">
        <v>60</v>
      </c>
    </row>
    <row r="185" ht="15" customHeight="1" s="43">
      <c r="A185" s="58" t="n">
        <v>46206</v>
      </c>
      <c r="B185" s="59" t="n">
        <v>36</v>
      </c>
      <c r="C185" s="59" t="n">
        <v>25</v>
      </c>
    </row>
    <row r="186" ht="15" customHeight="1" s="43">
      <c r="A186" s="58" t="n">
        <v>46207</v>
      </c>
      <c r="B186" s="59" t="n">
        <v>23</v>
      </c>
      <c r="C186" s="59" t="n">
        <v>18</v>
      </c>
    </row>
    <row r="187" ht="15" customHeight="1" s="43">
      <c r="A187" s="58" t="n">
        <v>46208</v>
      </c>
      <c r="B187" s="59" t="n">
        <v>34</v>
      </c>
      <c r="C187" s="59" t="n">
        <v>28</v>
      </c>
    </row>
    <row r="188" ht="15" customHeight="1" s="43">
      <c r="A188" s="58" t="n">
        <v>46209</v>
      </c>
      <c r="B188" s="59" t="n">
        <v>43</v>
      </c>
      <c r="C188" s="59" t="n">
        <v>30</v>
      </c>
    </row>
    <row r="189" ht="15" customHeight="1" s="43">
      <c r="A189" s="58" t="n">
        <v>46210</v>
      </c>
      <c r="B189" s="59" t="n">
        <v>47</v>
      </c>
      <c r="C189" s="59" t="n">
        <v>25</v>
      </c>
    </row>
    <row r="190" ht="15" customHeight="1" s="43">
      <c r="A190" s="58" t="n">
        <v>46211</v>
      </c>
      <c r="B190" s="59" t="n">
        <v>38</v>
      </c>
      <c r="C190" s="59" t="n">
        <v>21</v>
      </c>
    </row>
    <row r="191" ht="15" customHeight="1" s="43">
      <c r="A191" s="58" t="n">
        <v>46212</v>
      </c>
      <c r="B191" s="59" t="n">
        <v>56</v>
      </c>
      <c r="C191" s="59" t="n">
        <v>31</v>
      </c>
    </row>
    <row r="192" ht="15" customHeight="1" s="43">
      <c r="A192" s="58" t="n">
        <v>46213</v>
      </c>
      <c r="B192" s="59" t="n">
        <v>34</v>
      </c>
      <c r="C192" s="59" t="n">
        <v>20</v>
      </c>
    </row>
    <row r="193" ht="15" customHeight="1" s="43">
      <c r="A193" s="58" t="n">
        <v>46214</v>
      </c>
      <c r="B193" s="59" t="n">
        <v>22</v>
      </c>
      <c r="C193" s="59" t="n">
        <v>16</v>
      </c>
    </row>
    <row r="194" ht="15" customHeight="1" s="43">
      <c r="A194" s="58" t="n">
        <v>46215</v>
      </c>
      <c r="B194" s="59" t="n">
        <v>22</v>
      </c>
      <c r="C194" s="59" t="n">
        <v>15</v>
      </c>
    </row>
    <row r="195" ht="15" customHeight="1" s="43">
      <c r="A195" s="58" t="n">
        <v>46216</v>
      </c>
      <c r="B195" s="59" t="n">
        <v>46</v>
      </c>
      <c r="C195" s="59" t="n">
        <v>24</v>
      </c>
    </row>
    <row r="196" ht="15" customHeight="1" s="43">
      <c r="A196" s="58" t="n">
        <v>46217</v>
      </c>
      <c r="B196" s="59" t="n">
        <v>29</v>
      </c>
      <c r="C196" s="59" t="n">
        <v>21</v>
      </c>
    </row>
    <row r="197" ht="15" customHeight="1" s="43">
      <c r="A197" s="58" t="n">
        <v>46218</v>
      </c>
      <c r="B197" s="59" t="n">
        <v>21</v>
      </c>
      <c r="C197" s="59" t="n">
        <v>20</v>
      </c>
    </row>
  </sheetData>
  <autoFilter ref="A1:C19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C4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42" min="1" max="1"/>
    <col width="13" customWidth="1" style="42" min="2" max="2"/>
    <col width="11" customWidth="1" style="42" min="3" max="3"/>
  </cols>
  <sheetData>
    <row r="1" ht="16.15" customHeight="1" s="43">
      <c r="A1" s="44" t="inlineStr">
        <is>
          <t>Megaphone — Downloads by Listening App (Technology Performance)</t>
        </is>
      </c>
    </row>
    <row r="2" ht="27.75" customHeight="1" s="43">
      <c r="A2" s="45" t="inlineStr">
        <is>
          <t>Jan 1 – Jul 16, 2026. IAB 'Download' = a unique file request that was downloaded (complete or partial). '% of total' is Megaphone's own reported figure (rounded to whole percent). Covers all non-YouTube platforms.</t>
        </is>
      </c>
    </row>
    <row r="4" ht="15" customHeight="1" s="43">
      <c r="A4" s="60" t="inlineStr">
        <is>
          <t>Application</t>
        </is>
      </c>
      <c r="B4" s="60" t="inlineStr">
        <is>
          <t>Downloads</t>
        </is>
      </c>
      <c r="C4" s="60" t="inlineStr">
        <is>
          <t>% of total</t>
        </is>
      </c>
    </row>
    <row r="5" ht="15" customHeight="1" s="43">
      <c r="A5" s="61" t="inlineStr">
        <is>
          <t>Apple Podcasts</t>
        </is>
      </c>
      <c r="B5" s="50" t="n">
        <v>6200</v>
      </c>
      <c r="C5" s="62" t="n">
        <v>0.64</v>
      </c>
    </row>
    <row r="6" ht="15" customHeight="1" s="43">
      <c r="A6" s="61" t="inlineStr">
        <is>
          <t>Spotify</t>
        </is>
      </c>
      <c r="B6" s="50" t="n">
        <v>1003</v>
      </c>
      <c r="C6" s="62" t="n">
        <v>0.1</v>
      </c>
    </row>
    <row r="7" ht="15" customHeight="1" s="43">
      <c r="A7" s="61" t="inlineStr">
        <is>
          <t>Chrome</t>
        </is>
      </c>
      <c r="B7" s="50" t="n">
        <v>656</v>
      </c>
      <c r="C7" s="62" t="n">
        <v>0.07000000000000001</v>
      </c>
    </row>
    <row r="8" ht="15" customHeight="1" s="43">
      <c r="A8" s="61" t="inlineStr">
        <is>
          <t>Overcast</t>
        </is>
      </c>
      <c r="B8" s="50" t="n">
        <v>398</v>
      </c>
      <c r="C8" s="62" t="n">
        <v>0.04</v>
      </c>
    </row>
    <row r="9" ht="15" customHeight="1" s="43">
      <c r="A9" s="61" t="inlineStr">
        <is>
          <t>Safari</t>
        </is>
      </c>
      <c r="B9" s="50" t="n">
        <v>330</v>
      </c>
      <c r="C9" s="62" t="n">
        <v>0.03</v>
      </c>
    </row>
    <row r="10" ht="15" customHeight="1" s="43">
      <c r="A10" s="61" t="inlineStr">
        <is>
          <t>AppleCoreMedia</t>
        </is>
      </c>
      <c r="B10" s="50" t="n">
        <v>252</v>
      </c>
      <c r="C10" s="62" t="n">
        <v>0.03</v>
      </c>
    </row>
    <row r="11" ht="15" customHeight="1" s="43">
      <c r="A11" s="61" t="inlineStr">
        <is>
          <t>Pocket Casts</t>
        </is>
      </c>
      <c r="B11" s="50" t="n">
        <v>247</v>
      </c>
      <c r="C11" s="62" t="n">
        <v>0.03</v>
      </c>
    </row>
    <row r="12" ht="15" customHeight="1" s="43">
      <c r="A12" s="61" t="inlineStr">
        <is>
          <t>Downcast</t>
        </is>
      </c>
      <c r="B12" s="50" t="n">
        <v>68</v>
      </c>
      <c r="C12" s="62" t="n">
        <v>0.01</v>
      </c>
    </row>
    <row r="13" ht="15" customHeight="1" s="43">
      <c r="A13" s="61" t="inlineStr">
        <is>
          <t>Podcast Addict</t>
        </is>
      </c>
      <c r="B13" s="50" t="n">
        <v>57</v>
      </c>
      <c r="C13" s="62" t="n">
        <v>0.01</v>
      </c>
    </row>
    <row r="14" ht="15" customHeight="1" s="43">
      <c r="A14" s="61" t="inlineStr">
        <is>
          <t>Castbox</t>
        </is>
      </c>
      <c r="B14" s="50" t="n">
        <v>51</v>
      </c>
      <c r="C14" s="62" t="n">
        <v>0.01</v>
      </c>
    </row>
    <row r="15" ht="15" customHeight="1" s="43">
      <c r="A15" s="61" t="inlineStr">
        <is>
          <t>Podcast Republic</t>
        </is>
      </c>
      <c r="B15" s="50" t="n">
        <v>51</v>
      </c>
      <c r="C15" s="62" t="n">
        <v>0.01</v>
      </c>
    </row>
    <row r="16" ht="15" customHeight="1" s="43">
      <c r="A16" s="61" t="inlineStr">
        <is>
          <t>other</t>
        </is>
      </c>
      <c r="B16" s="50" t="n">
        <v>48</v>
      </c>
      <c r="C16" s="62" t="n">
        <v>0</v>
      </c>
    </row>
    <row r="17" ht="15" customHeight="1" s="43">
      <c r="A17" s="61" t="inlineStr">
        <is>
          <t>Firefox</t>
        </is>
      </c>
      <c r="B17" s="50" t="n">
        <v>45</v>
      </c>
      <c r="C17" s="62" t="n">
        <v>0</v>
      </c>
    </row>
    <row r="18" ht="15" customHeight="1" s="43">
      <c r="A18" s="61" t="inlineStr">
        <is>
          <t>AntennaPod</t>
        </is>
      </c>
      <c r="B18" s="50" t="n">
        <v>42</v>
      </c>
      <c r="C18" s="62" t="n">
        <v>0</v>
      </c>
    </row>
    <row r="19" ht="15" customHeight="1" s="43">
      <c r="A19" s="61" t="inlineStr">
        <is>
          <t>Mozilla</t>
        </is>
      </c>
      <c r="B19" s="50" t="n">
        <v>22</v>
      </c>
      <c r="C19" s="62" t="n">
        <v>0</v>
      </c>
    </row>
    <row r="20" ht="15" customHeight="1" s="43">
      <c r="A20" s="61" t="inlineStr">
        <is>
          <t>Player FM</t>
        </is>
      </c>
      <c r="B20" s="50" t="n">
        <v>22</v>
      </c>
      <c r="C20" s="62" t="n">
        <v>0</v>
      </c>
    </row>
    <row r="21" ht="15" customHeight="1" s="43">
      <c r="A21" s="61" t="inlineStr">
        <is>
          <t>Stagefright</t>
        </is>
      </c>
      <c r="B21" s="50" t="n">
        <v>22</v>
      </c>
      <c r="C21" s="62" t="n">
        <v>0</v>
      </c>
    </row>
    <row r="22" ht="15" customHeight="1" s="43">
      <c r="A22" s="61" t="inlineStr">
        <is>
          <t>iTunes desktop software</t>
        </is>
      </c>
      <c r="B22" s="50" t="n">
        <v>19</v>
      </c>
      <c r="C22" s="62" t="n">
        <v>0</v>
      </c>
    </row>
    <row r="23" ht="15" customHeight="1" s="43">
      <c r="A23" s="61" t="inlineStr">
        <is>
          <t>Dalvik Android Audio Library</t>
        </is>
      </c>
      <c r="B23" s="50" t="n">
        <v>18</v>
      </c>
      <c r="C23" s="62" t="n">
        <v>0</v>
      </c>
    </row>
    <row r="24" ht="15" customHeight="1" s="43">
      <c r="A24" s="61" t="inlineStr">
        <is>
          <t>Podbean</t>
        </is>
      </c>
      <c r="B24" s="50" t="n">
        <v>18</v>
      </c>
      <c r="C24" s="62" t="n">
        <v>0</v>
      </c>
    </row>
    <row r="25" ht="15" customHeight="1" s="43">
      <c r="A25" s="61" t="inlineStr">
        <is>
          <t>Amazon Music Podcasts</t>
        </is>
      </c>
      <c r="B25" s="50" t="n">
        <v>16</v>
      </c>
      <c r="C25" s="62" t="n">
        <v>0</v>
      </c>
    </row>
    <row r="26" ht="15" customHeight="1" s="43">
      <c r="A26" s="61" t="inlineStr">
        <is>
          <t>Pandora</t>
        </is>
      </c>
      <c r="B26" s="50" t="n">
        <v>14</v>
      </c>
      <c r="C26" s="62" t="n">
        <v>0</v>
      </c>
    </row>
    <row r="27" ht="15" customHeight="1" s="43">
      <c r="A27" s="61" t="inlineStr">
        <is>
          <t>Google Podcasts on Android</t>
        </is>
      </c>
      <c r="B27" s="50" t="n">
        <v>11</v>
      </c>
      <c r="C27" s="62" t="n">
        <v>0</v>
      </c>
    </row>
    <row r="28" ht="15" customHeight="1" s="43">
      <c r="A28" s="61" t="inlineStr">
        <is>
          <t>Amazon Alexa</t>
        </is>
      </c>
      <c r="B28" s="50" t="n">
        <v>7</v>
      </c>
      <c r="C28" s="62" t="n">
        <v>0</v>
      </c>
    </row>
    <row r="29" ht="15" customHeight="1" s="43">
      <c r="A29" s="61" t="inlineStr">
        <is>
          <t>iCatcher</t>
        </is>
      </c>
      <c r="B29" s="50" t="n">
        <v>5</v>
      </c>
      <c r="C29" s="62" t="n">
        <v>0</v>
      </c>
    </row>
    <row r="30" ht="15" customHeight="1" s="43">
      <c r="A30" s="61" t="inlineStr">
        <is>
          <t>Google Podcasts on smart speakers</t>
        </is>
      </c>
      <c r="B30" s="50" t="n">
        <v>4</v>
      </c>
      <c r="C30" s="62" t="n">
        <v>0</v>
      </c>
    </row>
    <row r="31" ht="15" customHeight="1" s="43">
      <c r="A31" s="61" t="inlineStr">
        <is>
          <t>Podcast Guru</t>
        </is>
      </c>
      <c r="B31" s="50" t="n">
        <v>4</v>
      </c>
      <c r="C31" s="62" t="n">
        <v>0</v>
      </c>
    </row>
    <row r="32" ht="15" customHeight="1" s="43">
      <c r="A32" s="61" t="inlineStr">
        <is>
          <t>BeyondPod</t>
        </is>
      </c>
      <c r="B32" s="50" t="n">
        <v>1</v>
      </c>
      <c r="C32" s="62" t="n">
        <v>0</v>
      </c>
    </row>
    <row r="33" ht="15" customHeight="1" s="43">
      <c r="A33" s="61" t="inlineStr">
        <is>
          <t>Castro</t>
        </is>
      </c>
      <c r="B33" s="50" t="n">
        <v>1</v>
      </c>
      <c r="C33" s="62" t="n">
        <v>0</v>
      </c>
    </row>
    <row r="34" ht="15" customHeight="1" s="43">
      <c r="A34" s="61" t="inlineStr">
        <is>
          <t>Apple Watch</t>
        </is>
      </c>
      <c r="B34" s="50" t="n">
        <v>0</v>
      </c>
      <c r="C34" s="62" t="n">
        <v>0</v>
      </c>
    </row>
    <row r="35" ht="15" customHeight="1" s="43">
      <c r="A35" s="63" t="inlineStr">
        <is>
          <t>Total</t>
        </is>
      </c>
      <c r="B35" s="64">
        <f>SUM(B5:B34)</f>
        <v/>
      </c>
      <c r="C35" s="65" t="n">
        <v>1</v>
      </c>
    </row>
    <row r="37" ht="15" customHeight="1" s="43">
      <c r="A37" s="54" t="inlineStr">
        <is>
          <t>Grouped for the cross-platform residual</t>
        </is>
      </c>
    </row>
    <row r="38" ht="15" customHeight="1" s="43">
      <c r="A38" s="66" t="inlineStr">
        <is>
          <t>Apple Podcasts</t>
        </is>
      </c>
      <c r="B38" s="67">
        <f>B5</f>
        <v/>
      </c>
    </row>
    <row r="39" ht="15" customHeight="1" s="43">
      <c r="A39" s="66" t="inlineStr">
        <is>
          <t>Spotify</t>
        </is>
      </c>
      <c r="B39" s="67">
        <f>B6</f>
        <v/>
      </c>
    </row>
    <row r="40" ht="15" customHeight="1" s="43">
      <c r="A40" s="66" t="inlineStr">
        <is>
          <t>Other platforms (everything else)</t>
        </is>
      </c>
      <c r="B40" s="67">
        <f>B35-B5-B6</f>
        <v/>
      </c>
    </row>
    <row r="41" ht="15" customHeight="1" s="43">
      <c r="A41" s="68" t="inlineStr">
        <is>
          <t>"Other" = Chrome, Overcast, Safari, Pocket Casts and the long tail of apps above.</t>
        </is>
      </c>
    </row>
  </sheetData>
  <autoFilter ref="A4:C3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145"/>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2" min="1" max="1"/>
    <col width="12" customWidth="1" style="42" min="2" max="2"/>
  </cols>
  <sheetData>
    <row r="1" ht="15" customHeight="1" s="43">
      <c r="A1" s="46" t="inlineStr">
        <is>
          <t>Date</t>
        </is>
      </c>
      <c r="B1" s="46" t="inlineStr">
        <is>
          <t>Streams</t>
        </is>
      </c>
    </row>
    <row r="2" ht="15" customHeight="1" s="43">
      <c r="A2" s="58" t="n">
        <v>46075</v>
      </c>
      <c r="B2" s="59" t="n">
        <v>4</v>
      </c>
    </row>
    <row r="3" ht="15" customHeight="1" s="43">
      <c r="A3" s="58" t="n">
        <v>46076</v>
      </c>
      <c r="B3" s="59" t="n">
        <v>34</v>
      </c>
    </row>
    <row r="4" ht="15" customHeight="1" s="43">
      <c r="A4" s="58" t="n">
        <v>46077</v>
      </c>
      <c r="B4" s="59" t="n">
        <v>39</v>
      </c>
    </row>
    <row r="5" ht="15" customHeight="1" s="43">
      <c r="A5" s="58" t="n">
        <v>46078</v>
      </c>
      <c r="B5" s="59" t="n">
        <v>56</v>
      </c>
    </row>
    <row r="6" ht="15" customHeight="1" s="43">
      <c r="A6" s="58" t="n">
        <v>46079</v>
      </c>
      <c r="B6" s="59" t="n">
        <v>36</v>
      </c>
    </row>
    <row r="7" ht="15" customHeight="1" s="43">
      <c r="A7" s="58" t="n">
        <v>46080</v>
      </c>
      <c r="B7" s="59" t="n">
        <v>44</v>
      </c>
    </row>
    <row r="8" ht="15" customHeight="1" s="43">
      <c r="A8" s="58" t="n">
        <v>46081</v>
      </c>
      <c r="B8" s="59" t="n">
        <v>15</v>
      </c>
    </row>
    <row r="9" ht="15" customHeight="1" s="43">
      <c r="A9" s="58" t="n">
        <v>46082</v>
      </c>
      <c r="B9" s="59" t="n">
        <v>10</v>
      </c>
    </row>
    <row r="10" ht="15" customHeight="1" s="43">
      <c r="A10" s="58" t="n">
        <v>46083</v>
      </c>
      <c r="B10" s="59" t="n">
        <v>37</v>
      </c>
    </row>
    <row r="11" ht="15" customHeight="1" s="43">
      <c r="A11" s="58" t="n">
        <v>46084</v>
      </c>
      <c r="B11" s="59" t="n">
        <v>35</v>
      </c>
    </row>
    <row r="12" ht="15" customHeight="1" s="43">
      <c r="A12" s="58" t="n">
        <v>46085</v>
      </c>
      <c r="B12" s="59" t="n">
        <v>28</v>
      </c>
    </row>
    <row r="13" ht="15" customHeight="1" s="43">
      <c r="A13" s="58" t="n">
        <v>46086</v>
      </c>
      <c r="B13" s="59" t="n">
        <v>39</v>
      </c>
    </row>
    <row r="14" ht="15" customHeight="1" s="43">
      <c r="A14" s="58" t="n">
        <v>46087</v>
      </c>
      <c r="B14" s="59" t="n">
        <v>30</v>
      </c>
    </row>
    <row r="15" ht="15" customHeight="1" s="43">
      <c r="A15" s="58" t="n">
        <v>46088</v>
      </c>
      <c r="B15" s="59" t="n">
        <v>22</v>
      </c>
    </row>
    <row r="16" ht="15" customHeight="1" s="43">
      <c r="A16" s="58" t="n">
        <v>46089</v>
      </c>
      <c r="B16" s="59" t="n">
        <v>8</v>
      </c>
    </row>
    <row r="17" ht="15" customHeight="1" s="43">
      <c r="A17" s="58" t="n">
        <v>46090</v>
      </c>
      <c r="B17" s="59" t="n">
        <v>18</v>
      </c>
    </row>
    <row r="18" ht="15" customHeight="1" s="43">
      <c r="A18" s="58" t="n">
        <v>46091</v>
      </c>
      <c r="B18" s="59" t="n">
        <v>28</v>
      </c>
    </row>
    <row r="19" ht="15" customHeight="1" s="43">
      <c r="A19" s="58" t="n">
        <v>46092</v>
      </c>
      <c r="B19" s="59" t="n">
        <v>33</v>
      </c>
    </row>
    <row r="20" ht="15" customHeight="1" s="43">
      <c r="A20" s="58" t="n">
        <v>46093</v>
      </c>
      <c r="B20" s="59" t="n">
        <v>17</v>
      </c>
    </row>
    <row r="21" ht="15" customHeight="1" s="43">
      <c r="A21" s="58" t="n">
        <v>46094</v>
      </c>
      <c r="B21" s="59" t="n">
        <v>28</v>
      </c>
    </row>
    <row r="22" ht="15" customHeight="1" s="43">
      <c r="A22" s="58" t="n">
        <v>46095</v>
      </c>
      <c r="B22" s="59" t="n">
        <v>18</v>
      </c>
    </row>
    <row r="23" ht="15" customHeight="1" s="43">
      <c r="A23" s="58" t="n">
        <v>46096</v>
      </c>
      <c r="B23" s="59" t="n">
        <v>9</v>
      </c>
    </row>
    <row r="24" ht="15" customHeight="1" s="43">
      <c r="A24" s="58" t="n">
        <v>46097</v>
      </c>
      <c r="B24" s="59" t="n">
        <v>5</v>
      </c>
    </row>
    <row r="25" ht="15" customHeight="1" s="43">
      <c r="A25" s="58" t="n">
        <v>46098</v>
      </c>
      <c r="B25" s="59" t="n">
        <v>25</v>
      </c>
    </row>
    <row r="26" ht="15" customHeight="1" s="43">
      <c r="A26" s="58" t="n">
        <v>46099</v>
      </c>
      <c r="B26" s="59" t="n">
        <v>10</v>
      </c>
    </row>
    <row r="27" ht="15" customHeight="1" s="43">
      <c r="A27" s="58" t="n">
        <v>46100</v>
      </c>
      <c r="B27" s="59" t="n">
        <v>17</v>
      </c>
    </row>
    <row r="28" ht="15" customHeight="1" s="43">
      <c r="A28" s="58" t="n">
        <v>46101</v>
      </c>
      <c r="B28" s="59" t="n">
        <v>10</v>
      </c>
    </row>
    <row r="29" ht="15" customHeight="1" s="43">
      <c r="A29" s="58" t="n">
        <v>46102</v>
      </c>
      <c r="B29" s="59" t="n">
        <v>16</v>
      </c>
    </row>
    <row r="30" ht="15" customHeight="1" s="43">
      <c r="A30" s="58" t="n">
        <v>46103</v>
      </c>
      <c r="B30" s="59" t="n">
        <v>25</v>
      </c>
    </row>
    <row r="31" ht="15" customHeight="1" s="43">
      <c r="A31" s="58" t="n">
        <v>46104</v>
      </c>
      <c r="B31" s="59" t="n">
        <v>13</v>
      </c>
    </row>
    <row r="32" ht="15" customHeight="1" s="43">
      <c r="A32" s="58" t="n">
        <v>46105</v>
      </c>
      <c r="B32" s="59" t="n">
        <v>9</v>
      </c>
    </row>
    <row r="33" ht="15" customHeight="1" s="43">
      <c r="A33" s="58" t="n">
        <v>46106</v>
      </c>
      <c r="B33" s="59" t="n">
        <v>14</v>
      </c>
    </row>
    <row r="34" ht="15" customHeight="1" s="43">
      <c r="A34" s="58" t="n">
        <v>46107</v>
      </c>
      <c r="B34" s="59" t="n">
        <v>20</v>
      </c>
    </row>
    <row r="35" ht="15" customHeight="1" s="43">
      <c r="A35" s="58" t="n">
        <v>46108</v>
      </c>
      <c r="B35" s="59" t="n">
        <v>10</v>
      </c>
    </row>
    <row r="36" ht="15" customHeight="1" s="43">
      <c r="A36" s="58" t="n">
        <v>46109</v>
      </c>
      <c r="B36" s="59" t="n">
        <v>6</v>
      </c>
    </row>
    <row r="37" ht="15" customHeight="1" s="43">
      <c r="A37" s="58" t="n">
        <v>46110</v>
      </c>
      <c r="B37" s="59" t="n">
        <v>2</v>
      </c>
    </row>
    <row r="38" ht="15" customHeight="1" s="43">
      <c r="A38" s="58" t="n">
        <v>46111</v>
      </c>
      <c r="B38" s="59" t="n">
        <v>6</v>
      </c>
    </row>
    <row r="39" ht="15" customHeight="1" s="43">
      <c r="A39" s="58" t="n">
        <v>46112</v>
      </c>
      <c r="B39" s="59" t="n">
        <v>9</v>
      </c>
    </row>
    <row r="40" ht="15" customHeight="1" s="43">
      <c r="A40" s="58" t="n">
        <v>46113</v>
      </c>
      <c r="B40" s="59" t="n">
        <v>8</v>
      </c>
    </row>
    <row r="41" ht="15" customHeight="1" s="43">
      <c r="A41" s="58" t="n">
        <v>46114</v>
      </c>
      <c r="B41" s="59" t="n">
        <v>3</v>
      </c>
    </row>
    <row r="42" ht="15" customHeight="1" s="43">
      <c r="A42" s="58" t="n">
        <v>46115</v>
      </c>
      <c r="B42" s="59" t="n">
        <v>3</v>
      </c>
    </row>
    <row r="43" ht="15" customHeight="1" s="43">
      <c r="A43" s="58" t="n">
        <v>46116</v>
      </c>
      <c r="B43" s="59" t="n">
        <v>3</v>
      </c>
    </row>
    <row r="44" ht="15" customHeight="1" s="43">
      <c r="A44" s="58" t="n">
        <v>46117</v>
      </c>
      <c r="B44" s="59" t="n">
        <v>6</v>
      </c>
    </row>
    <row r="45" ht="15" customHeight="1" s="43">
      <c r="A45" s="58" t="n">
        <v>46118</v>
      </c>
      <c r="B45" s="59" t="n">
        <v>13</v>
      </c>
    </row>
    <row r="46" ht="15" customHeight="1" s="43">
      <c r="A46" s="58" t="n">
        <v>46119</v>
      </c>
      <c r="B46" s="59" t="n">
        <v>4</v>
      </c>
    </row>
    <row r="47" ht="15" customHeight="1" s="43">
      <c r="A47" s="58" t="n">
        <v>46120</v>
      </c>
      <c r="B47" s="59" t="n">
        <v>11</v>
      </c>
    </row>
    <row r="48" ht="15" customHeight="1" s="43">
      <c r="A48" s="58" t="n">
        <v>46121</v>
      </c>
      <c r="B48" s="59" t="n">
        <v>4</v>
      </c>
    </row>
    <row r="49" ht="15" customHeight="1" s="43">
      <c r="A49" s="58" t="n">
        <v>46122</v>
      </c>
      <c r="B49" s="59" t="n">
        <v>5</v>
      </c>
    </row>
    <row r="50" ht="15" customHeight="1" s="43">
      <c r="A50" s="58" t="n">
        <v>46123</v>
      </c>
      <c r="B50" s="59" t="n">
        <v>6</v>
      </c>
    </row>
    <row r="51" ht="15" customHeight="1" s="43">
      <c r="A51" s="58" t="n">
        <v>46124</v>
      </c>
      <c r="B51" s="59" t="n">
        <v>5</v>
      </c>
    </row>
    <row r="52" ht="15" customHeight="1" s="43">
      <c r="A52" s="58" t="n">
        <v>46125</v>
      </c>
      <c r="B52" s="59" t="n">
        <v>5</v>
      </c>
    </row>
    <row r="53" ht="15" customHeight="1" s="43">
      <c r="A53" s="58" t="n">
        <v>46126</v>
      </c>
      <c r="B53" s="59" t="n">
        <v>13</v>
      </c>
    </row>
    <row r="54" ht="15" customHeight="1" s="43">
      <c r="A54" s="58" t="n">
        <v>46127</v>
      </c>
      <c r="B54" s="59" t="n">
        <v>6</v>
      </c>
    </row>
    <row r="55" ht="15" customHeight="1" s="43">
      <c r="A55" s="58" t="n">
        <v>46128</v>
      </c>
      <c r="B55" s="59" t="n">
        <v>8</v>
      </c>
    </row>
    <row r="56" ht="15" customHeight="1" s="43">
      <c r="A56" s="58" t="n">
        <v>46129</v>
      </c>
      <c r="B56" s="59" t="n">
        <v>4</v>
      </c>
    </row>
    <row r="57" ht="15" customHeight="1" s="43">
      <c r="A57" s="58" t="n">
        <v>46130</v>
      </c>
      <c r="B57" s="59" t="n">
        <v>1</v>
      </c>
    </row>
    <row r="58" ht="15" customHeight="1" s="43">
      <c r="A58" s="58" t="n">
        <v>46131</v>
      </c>
      <c r="B58" s="59" t="n">
        <v>4</v>
      </c>
    </row>
    <row r="59" ht="15" customHeight="1" s="43">
      <c r="A59" s="58" t="n">
        <v>46132</v>
      </c>
      <c r="B59" s="59" t="n">
        <v>0</v>
      </c>
    </row>
    <row r="60" ht="15" customHeight="1" s="43">
      <c r="A60" s="58" t="n">
        <v>46133</v>
      </c>
      <c r="B60" s="59" t="n">
        <v>8</v>
      </c>
    </row>
    <row r="61" ht="15" customHeight="1" s="43">
      <c r="A61" s="58" t="n">
        <v>46134</v>
      </c>
      <c r="B61" s="59" t="n">
        <v>5</v>
      </c>
    </row>
    <row r="62" ht="15" customHeight="1" s="43">
      <c r="A62" s="58" t="n">
        <v>46135</v>
      </c>
      <c r="B62" s="59" t="n">
        <v>8</v>
      </c>
    </row>
    <row r="63" ht="15" customHeight="1" s="43">
      <c r="A63" s="58" t="n">
        <v>46136</v>
      </c>
      <c r="B63" s="59" t="n">
        <v>5</v>
      </c>
    </row>
    <row r="64" ht="15" customHeight="1" s="43">
      <c r="A64" s="58" t="n">
        <v>46137</v>
      </c>
      <c r="B64" s="59" t="n">
        <v>5</v>
      </c>
    </row>
    <row r="65" ht="15" customHeight="1" s="43">
      <c r="A65" s="58" t="n">
        <v>46138</v>
      </c>
      <c r="B65" s="59" t="n">
        <v>1</v>
      </c>
    </row>
    <row r="66" ht="15" customHeight="1" s="43">
      <c r="A66" s="58" t="n">
        <v>46139</v>
      </c>
      <c r="B66" s="59" t="n">
        <v>4</v>
      </c>
    </row>
    <row r="67" ht="15" customHeight="1" s="43">
      <c r="A67" s="58" t="n">
        <v>46140</v>
      </c>
      <c r="B67" s="59" t="n">
        <v>3</v>
      </c>
    </row>
    <row r="68" ht="15" customHeight="1" s="43">
      <c r="A68" s="58" t="n">
        <v>46141</v>
      </c>
      <c r="B68" s="59" t="n">
        <v>3</v>
      </c>
    </row>
    <row r="69" ht="15" customHeight="1" s="43">
      <c r="A69" s="58" t="n">
        <v>46142</v>
      </c>
      <c r="B69" s="59" t="n">
        <v>2</v>
      </c>
    </row>
    <row r="70" ht="15" customHeight="1" s="43">
      <c r="A70" s="58" t="n">
        <v>46143</v>
      </c>
      <c r="B70" s="59" t="n">
        <v>3</v>
      </c>
    </row>
    <row r="71" ht="15" customHeight="1" s="43">
      <c r="A71" s="58" t="n">
        <v>46144</v>
      </c>
      <c r="B71" s="59" t="n">
        <v>1</v>
      </c>
    </row>
    <row r="72" ht="15" customHeight="1" s="43">
      <c r="A72" s="58" t="n">
        <v>46145</v>
      </c>
      <c r="B72" s="59" t="n">
        <v>1</v>
      </c>
    </row>
    <row r="73" ht="15" customHeight="1" s="43">
      <c r="A73" s="58" t="n">
        <v>46146</v>
      </c>
      <c r="B73" s="59" t="n">
        <v>4</v>
      </c>
    </row>
    <row r="74" ht="15" customHeight="1" s="43">
      <c r="A74" s="58" t="n">
        <v>46147</v>
      </c>
      <c r="B74" s="59" t="n">
        <v>11</v>
      </c>
    </row>
    <row r="75" ht="15" customHeight="1" s="43">
      <c r="A75" s="58" t="n">
        <v>46148</v>
      </c>
      <c r="B75" s="59" t="n">
        <v>7</v>
      </c>
    </row>
    <row r="76" ht="15" customHeight="1" s="43">
      <c r="A76" s="58" t="n">
        <v>46149</v>
      </c>
      <c r="B76" s="59" t="n">
        <v>3</v>
      </c>
    </row>
    <row r="77" ht="15" customHeight="1" s="43">
      <c r="A77" s="58" t="n">
        <v>46150</v>
      </c>
      <c r="B77" s="59" t="n">
        <v>0</v>
      </c>
    </row>
    <row r="78" ht="15" customHeight="1" s="43">
      <c r="A78" s="58" t="n">
        <v>46151</v>
      </c>
      <c r="B78" s="59" t="n">
        <v>3</v>
      </c>
    </row>
    <row r="79" ht="15" customHeight="1" s="43">
      <c r="A79" s="58" t="n">
        <v>46152</v>
      </c>
      <c r="B79" s="59" t="n">
        <v>2</v>
      </c>
    </row>
    <row r="80" ht="15" customHeight="1" s="43">
      <c r="A80" s="58" t="n">
        <v>46153</v>
      </c>
      <c r="B80" s="59" t="n">
        <v>1</v>
      </c>
    </row>
    <row r="81" ht="15" customHeight="1" s="43">
      <c r="A81" s="58" t="n">
        <v>46154</v>
      </c>
      <c r="B81" s="59" t="n">
        <v>0</v>
      </c>
    </row>
    <row r="82" ht="15" customHeight="1" s="43">
      <c r="A82" s="58" t="n">
        <v>46155</v>
      </c>
      <c r="B82" s="59" t="n">
        <v>0</v>
      </c>
    </row>
    <row r="83" ht="15" customHeight="1" s="43">
      <c r="A83" s="58" t="n">
        <v>46156</v>
      </c>
      <c r="B83" s="59" t="n">
        <v>1</v>
      </c>
    </row>
    <row r="84" ht="15" customHeight="1" s="43">
      <c r="A84" s="58" t="n">
        <v>46157</v>
      </c>
      <c r="B84" s="59" t="n">
        <v>0</v>
      </c>
    </row>
    <row r="85" ht="15" customHeight="1" s="43">
      <c r="A85" s="58" t="n">
        <v>46158</v>
      </c>
      <c r="B85" s="59" t="n">
        <v>3</v>
      </c>
    </row>
    <row r="86" ht="15" customHeight="1" s="43">
      <c r="A86" s="58" t="n">
        <v>46159</v>
      </c>
      <c r="B86" s="59" t="n">
        <v>1</v>
      </c>
    </row>
    <row r="87" ht="15" customHeight="1" s="43">
      <c r="A87" s="58" t="n">
        <v>46160</v>
      </c>
      <c r="B87" s="59" t="n">
        <v>0</v>
      </c>
    </row>
    <row r="88" ht="15" customHeight="1" s="43">
      <c r="A88" s="58" t="n">
        <v>46161</v>
      </c>
      <c r="B88" s="59" t="n">
        <v>2</v>
      </c>
    </row>
    <row r="89" ht="15" customHeight="1" s="43">
      <c r="A89" s="58" t="n">
        <v>46162</v>
      </c>
      <c r="B89" s="59" t="n">
        <v>1</v>
      </c>
    </row>
    <row r="90" ht="15" customHeight="1" s="43">
      <c r="A90" s="58" t="n">
        <v>46163</v>
      </c>
      <c r="B90" s="59" t="n">
        <v>0</v>
      </c>
    </row>
    <row r="91" ht="15" customHeight="1" s="43">
      <c r="A91" s="58" t="n">
        <v>46164</v>
      </c>
      <c r="B91" s="59" t="n">
        <v>1</v>
      </c>
    </row>
    <row r="92" ht="15" customHeight="1" s="43">
      <c r="A92" s="58" t="n">
        <v>46165</v>
      </c>
      <c r="B92" s="59" t="n">
        <v>0</v>
      </c>
    </row>
    <row r="93" ht="15" customHeight="1" s="43">
      <c r="A93" s="58" t="n">
        <v>46166</v>
      </c>
      <c r="B93" s="59" t="n">
        <v>4</v>
      </c>
    </row>
    <row r="94" ht="15" customHeight="1" s="43">
      <c r="A94" s="58" t="n">
        <v>46167</v>
      </c>
      <c r="B94" s="59" t="n">
        <v>21</v>
      </c>
    </row>
    <row r="95" ht="15" customHeight="1" s="43">
      <c r="A95" s="58" t="n">
        <v>46168</v>
      </c>
      <c r="B95" s="59" t="n">
        <v>17</v>
      </c>
    </row>
    <row r="96" ht="15" customHeight="1" s="43">
      <c r="A96" s="58" t="n">
        <v>46169</v>
      </c>
      <c r="B96" s="59" t="n">
        <v>33</v>
      </c>
    </row>
    <row r="97" ht="15" customHeight="1" s="43">
      <c r="A97" s="58" t="n">
        <v>46170</v>
      </c>
      <c r="B97" s="59" t="n">
        <v>13</v>
      </c>
    </row>
    <row r="98" ht="15" customHeight="1" s="43">
      <c r="A98" s="58" t="n">
        <v>46171</v>
      </c>
      <c r="B98" s="59" t="n">
        <v>26</v>
      </c>
    </row>
    <row r="99" ht="15" customHeight="1" s="43">
      <c r="A99" s="58" t="n">
        <v>46172</v>
      </c>
      <c r="B99" s="59" t="n">
        <v>5</v>
      </c>
    </row>
    <row r="100" ht="15" customHeight="1" s="43">
      <c r="A100" s="58" t="n">
        <v>46173</v>
      </c>
      <c r="B100" s="59" t="n">
        <v>14</v>
      </c>
    </row>
    <row r="101" ht="15" customHeight="1" s="43">
      <c r="A101" s="58" t="n">
        <v>46174</v>
      </c>
      <c r="B101" s="59" t="n">
        <v>8</v>
      </c>
    </row>
    <row r="102" ht="15" customHeight="1" s="43">
      <c r="A102" s="58" t="n">
        <v>46175</v>
      </c>
      <c r="B102" s="59" t="n">
        <v>14</v>
      </c>
    </row>
    <row r="103" ht="15" customHeight="1" s="43">
      <c r="A103" s="58" t="n">
        <v>46176</v>
      </c>
      <c r="B103" s="59" t="n">
        <v>16</v>
      </c>
    </row>
    <row r="104" ht="15" customHeight="1" s="43">
      <c r="A104" s="58" t="n">
        <v>46177</v>
      </c>
      <c r="B104" s="59" t="n">
        <v>36</v>
      </c>
    </row>
    <row r="105" ht="15" customHeight="1" s="43">
      <c r="A105" s="58" t="n">
        <v>46178</v>
      </c>
      <c r="B105" s="59" t="n">
        <v>13</v>
      </c>
    </row>
    <row r="106" ht="15" customHeight="1" s="43">
      <c r="A106" s="58" t="n">
        <v>46179</v>
      </c>
      <c r="B106" s="59" t="n">
        <v>5</v>
      </c>
    </row>
    <row r="107" ht="15" customHeight="1" s="43">
      <c r="A107" s="58" t="n">
        <v>46180</v>
      </c>
      <c r="B107" s="59" t="n">
        <v>7</v>
      </c>
    </row>
    <row r="108" ht="15" customHeight="1" s="43">
      <c r="A108" s="58" t="n">
        <v>46181</v>
      </c>
      <c r="B108" s="59" t="n">
        <v>3</v>
      </c>
    </row>
    <row r="109" ht="15" customHeight="1" s="43">
      <c r="A109" s="58" t="n">
        <v>46182</v>
      </c>
      <c r="B109" s="59" t="n">
        <v>17</v>
      </c>
    </row>
    <row r="110" ht="15" customHeight="1" s="43">
      <c r="A110" s="58" t="n">
        <v>46183</v>
      </c>
      <c r="B110" s="59" t="n">
        <v>2</v>
      </c>
    </row>
    <row r="111" ht="15" customHeight="1" s="43">
      <c r="A111" s="58" t="n">
        <v>46184</v>
      </c>
      <c r="B111" s="59" t="n">
        <v>5</v>
      </c>
    </row>
    <row r="112" ht="15" customHeight="1" s="43">
      <c r="A112" s="58" t="n">
        <v>46185</v>
      </c>
      <c r="B112" s="59" t="n">
        <v>3</v>
      </c>
    </row>
    <row r="113" ht="15" customHeight="1" s="43">
      <c r="A113" s="58" t="n">
        <v>46186</v>
      </c>
      <c r="B113" s="59" t="n">
        <v>2</v>
      </c>
    </row>
    <row r="114" ht="15" customHeight="1" s="43">
      <c r="A114" s="58" t="n">
        <v>46187</v>
      </c>
      <c r="B114" s="59" t="n">
        <v>1</v>
      </c>
    </row>
    <row r="115" ht="15" customHeight="1" s="43">
      <c r="A115" s="58" t="n">
        <v>46188</v>
      </c>
      <c r="B115" s="59" t="n">
        <v>0</v>
      </c>
    </row>
    <row r="116" ht="15" customHeight="1" s="43">
      <c r="A116" s="58" t="n">
        <v>46189</v>
      </c>
      <c r="B116" s="59" t="n">
        <v>0</v>
      </c>
    </row>
    <row r="117" ht="15" customHeight="1" s="43">
      <c r="A117" s="58" t="n">
        <v>46190</v>
      </c>
      <c r="B117" s="59" t="n">
        <v>0</v>
      </c>
    </row>
    <row r="118" ht="15" customHeight="1" s="43">
      <c r="A118" s="58" t="n">
        <v>46191</v>
      </c>
      <c r="B118" s="59" t="n">
        <v>2</v>
      </c>
    </row>
    <row r="119" ht="15" customHeight="1" s="43">
      <c r="A119" s="58" t="n">
        <v>46192</v>
      </c>
      <c r="B119" s="59" t="n">
        <v>15</v>
      </c>
    </row>
    <row r="120" ht="15" customHeight="1" s="43">
      <c r="A120" s="58" t="n">
        <v>46193</v>
      </c>
      <c r="B120" s="59" t="n">
        <v>10</v>
      </c>
    </row>
    <row r="121" ht="15" customHeight="1" s="43">
      <c r="A121" s="58" t="n">
        <v>46194</v>
      </c>
      <c r="B121" s="59" t="n">
        <v>8</v>
      </c>
    </row>
    <row r="122" ht="15" customHeight="1" s="43">
      <c r="A122" s="58" t="n">
        <v>46195</v>
      </c>
      <c r="B122" s="59" t="n">
        <v>4</v>
      </c>
    </row>
    <row r="123" ht="15" customHeight="1" s="43">
      <c r="A123" s="58" t="n">
        <v>46196</v>
      </c>
      <c r="B123" s="59" t="n">
        <v>9</v>
      </c>
    </row>
    <row r="124" ht="15" customHeight="1" s="43">
      <c r="A124" s="58" t="n">
        <v>46197</v>
      </c>
      <c r="B124" s="59" t="n">
        <v>11</v>
      </c>
    </row>
    <row r="125" ht="15" customHeight="1" s="43">
      <c r="A125" s="58" t="n">
        <v>46198</v>
      </c>
      <c r="B125" s="59" t="n">
        <v>17</v>
      </c>
    </row>
    <row r="126" ht="15" customHeight="1" s="43">
      <c r="A126" s="58" t="n">
        <v>46199</v>
      </c>
      <c r="B126" s="59" t="n">
        <v>2</v>
      </c>
    </row>
    <row r="127" ht="15" customHeight="1" s="43">
      <c r="A127" s="58" t="n">
        <v>46200</v>
      </c>
      <c r="B127" s="59" t="n">
        <v>4</v>
      </c>
    </row>
    <row r="128" ht="15" customHeight="1" s="43">
      <c r="A128" s="58" t="n">
        <v>46201</v>
      </c>
      <c r="B128" s="59" t="n">
        <v>1</v>
      </c>
    </row>
    <row r="129" ht="15" customHeight="1" s="43">
      <c r="A129" s="58" t="n">
        <v>46202</v>
      </c>
      <c r="B129" s="59" t="n">
        <v>9</v>
      </c>
    </row>
    <row r="130" ht="15" customHeight="1" s="43">
      <c r="A130" s="58" t="n">
        <v>46203</v>
      </c>
      <c r="B130" s="59" t="n">
        <v>14</v>
      </c>
    </row>
    <row r="131" ht="15" customHeight="1" s="43">
      <c r="A131" s="58" t="n">
        <v>46204</v>
      </c>
      <c r="B131" s="59" t="n">
        <v>13</v>
      </c>
    </row>
    <row r="132" ht="15" customHeight="1" s="43">
      <c r="A132" s="58" t="n">
        <v>46205</v>
      </c>
      <c r="B132" s="59" t="n">
        <v>11</v>
      </c>
    </row>
    <row r="133" ht="15" customHeight="1" s="43">
      <c r="A133" s="58" t="n">
        <v>46206</v>
      </c>
      <c r="B133" s="59" t="n">
        <v>2</v>
      </c>
    </row>
    <row r="134" ht="15" customHeight="1" s="43">
      <c r="A134" s="58" t="n">
        <v>46207</v>
      </c>
      <c r="B134" s="59" t="n">
        <v>5</v>
      </c>
    </row>
    <row r="135" ht="15" customHeight="1" s="43">
      <c r="A135" s="58" t="n">
        <v>46208</v>
      </c>
      <c r="B135" s="59" t="n">
        <v>5</v>
      </c>
    </row>
    <row r="136" ht="15" customHeight="1" s="43">
      <c r="A136" s="58" t="n">
        <v>46209</v>
      </c>
      <c r="B136" s="59" t="n">
        <v>7</v>
      </c>
    </row>
    <row r="137" ht="15" customHeight="1" s="43">
      <c r="A137" s="58" t="n">
        <v>46210</v>
      </c>
      <c r="B137" s="59" t="n">
        <v>4</v>
      </c>
    </row>
    <row r="138" ht="15" customHeight="1" s="43">
      <c r="A138" s="58" t="n">
        <v>46211</v>
      </c>
      <c r="B138" s="59" t="n">
        <v>5</v>
      </c>
    </row>
    <row r="139" ht="15" customHeight="1" s="43">
      <c r="A139" s="58" t="n">
        <v>46212</v>
      </c>
      <c r="B139" s="59" t="n">
        <v>6</v>
      </c>
    </row>
    <row r="140" ht="15" customHeight="1" s="43">
      <c r="A140" s="58" t="n">
        <v>46213</v>
      </c>
      <c r="B140" s="59" t="n">
        <v>2</v>
      </c>
    </row>
    <row r="141" ht="15" customHeight="1" s="43">
      <c r="A141" s="58" t="n">
        <v>46214</v>
      </c>
      <c r="B141" s="59" t="n">
        <v>12</v>
      </c>
    </row>
    <row r="142" ht="15" customHeight="1" s="43">
      <c r="A142" s="58" t="n">
        <v>46215</v>
      </c>
      <c r="B142" s="59" t="n">
        <v>2</v>
      </c>
    </row>
    <row r="143" ht="15" customHeight="1" s="43">
      <c r="A143" s="58" t="n">
        <v>46216</v>
      </c>
      <c r="B143" s="59" t="n">
        <v>1</v>
      </c>
    </row>
    <row r="144" ht="15" customHeight="1" s="43">
      <c r="A144" s="58" t="n">
        <v>46217</v>
      </c>
      <c r="B144" s="59" t="n">
        <v>7</v>
      </c>
    </row>
    <row r="145" ht="15" customHeight="1" s="43">
      <c r="A145" s="58" t="n">
        <v>46218</v>
      </c>
      <c r="B145" s="59" t="n">
        <v>1</v>
      </c>
    </row>
  </sheetData>
  <autoFilter ref="A1:B14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E14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2" min="1" max="1"/>
    <col width="22" customWidth="1" style="42" min="2" max="2"/>
    <col width="30" customWidth="1" style="42" min="3" max="3"/>
    <col width="11" customWidth="1" style="42" min="4" max="5"/>
  </cols>
  <sheetData>
    <row r="1" ht="26.25" customHeight="1" s="43">
      <c r="A1" s="46" t="inlineStr">
        <is>
          <t>Date</t>
        </is>
      </c>
      <c r="B1" s="46" t="inlineStr">
        <is>
          <t>Consumption time (hours)</t>
        </is>
      </c>
      <c r="C1" s="46" t="inlineStr">
        <is>
          <t>Average consumption time (hours)</t>
        </is>
      </c>
      <c r="D1" s="46" t="inlineStr">
        <is>
          <t>Comments</t>
        </is>
      </c>
      <c r="E1" s="46" t="inlineStr">
        <is>
          <t>Followers</t>
        </is>
      </c>
    </row>
    <row r="2" ht="15" customHeight="1" s="43">
      <c r="A2" s="58" t="n">
        <v>46076</v>
      </c>
      <c r="B2" s="69" t="n">
        <v>11.91</v>
      </c>
      <c r="C2" s="70" t="n">
        <v>0.661666666666667</v>
      </c>
      <c r="D2" s="59" t="n"/>
      <c r="E2" s="59" t="n">
        <v>32</v>
      </c>
    </row>
    <row r="3" ht="15" customHeight="1" s="43">
      <c r="A3" s="58" t="n">
        <v>46077</v>
      </c>
      <c r="B3" s="69" t="n">
        <v>13.31</v>
      </c>
      <c r="C3" s="70" t="n">
        <v>0.458965517241379</v>
      </c>
      <c r="D3" s="59" t="n"/>
      <c r="E3" s="59" t="n">
        <v>50</v>
      </c>
    </row>
    <row r="4" ht="15" customHeight="1" s="43">
      <c r="A4" s="58" t="n">
        <v>46078</v>
      </c>
      <c r="B4" s="69" t="n">
        <v>23.04</v>
      </c>
      <c r="C4" s="70" t="n">
        <v>0.822857142857143</v>
      </c>
      <c r="D4" s="59" t="n"/>
      <c r="E4" s="59" t="n">
        <v>62</v>
      </c>
    </row>
    <row r="5" ht="15" customHeight="1" s="43">
      <c r="A5" s="58" t="n">
        <v>46079</v>
      </c>
      <c r="B5" s="69" t="n">
        <v>14.67</v>
      </c>
      <c r="C5" s="70" t="n">
        <v>0.5868</v>
      </c>
      <c r="D5" s="59" t="n"/>
      <c r="E5" s="59" t="n">
        <v>70</v>
      </c>
    </row>
    <row r="6" ht="15" customHeight="1" s="43">
      <c r="A6" s="58" t="n">
        <v>46080</v>
      </c>
      <c r="B6" s="69" t="n">
        <v>15.95</v>
      </c>
      <c r="C6" s="70" t="n">
        <v>0.886111111111111</v>
      </c>
      <c r="D6" s="59" t="n"/>
      <c r="E6" s="59" t="n">
        <v>77</v>
      </c>
    </row>
    <row r="7" ht="15" customHeight="1" s="43">
      <c r="A7" s="58" t="n">
        <v>46081</v>
      </c>
      <c r="B7" s="69" t="n">
        <v>4.5</v>
      </c>
      <c r="C7" s="70" t="n">
        <v>0.409090909090909</v>
      </c>
      <c r="D7" s="59" t="n"/>
      <c r="E7" s="59" t="n">
        <v>79</v>
      </c>
    </row>
    <row r="8" ht="15" customHeight="1" s="43">
      <c r="A8" s="58" t="n">
        <v>46082</v>
      </c>
      <c r="B8" s="69" t="n">
        <v>3.42</v>
      </c>
      <c r="C8" s="70" t="n">
        <v>0.4275</v>
      </c>
      <c r="D8" s="59" t="n"/>
      <c r="E8" s="59" t="n">
        <v>79</v>
      </c>
    </row>
    <row r="9" ht="15" customHeight="1" s="43">
      <c r="A9" s="58" t="n">
        <v>46083</v>
      </c>
      <c r="B9" s="69" t="n">
        <v>11.08</v>
      </c>
      <c r="C9" s="70" t="n">
        <v>0.583157894736842</v>
      </c>
      <c r="D9" s="59" t="n"/>
      <c r="E9" s="59" t="n">
        <v>84</v>
      </c>
    </row>
    <row r="10" ht="15" customHeight="1" s="43">
      <c r="A10" s="58" t="n">
        <v>46084</v>
      </c>
      <c r="B10" s="69" t="n">
        <v>15.63</v>
      </c>
      <c r="C10" s="70" t="n">
        <v>0.679565217391304</v>
      </c>
      <c r="D10" s="59" t="n"/>
      <c r="E10" s="59" t="n">
        <v>87</v>
      </c>
    </row>
    <row r="11" ht="15" customHeight="1" s="43">
      <c r="A11" s="58" t="n">
        <v>46085</v>
      </c>
      <c r="B11" s="69" t="n">
        <v>10.17</v>
      </c>
      <c r="C11" s="70" t="n">
        <v>0.5085</v>
      </c>
      <c r="D11" s="59" t="n"/>
      <c r="E11" s="59" t="n">
        <v>90</v>
      </c>
    </row>
    <row r="12" ht="15" customHeight="1" s="43">
      <c r="A12" s="58" t="n">
        <v>46086</v>
      </c>
      <c r="B12" s="69" t="n">
        <v>20.67</v>
      </c>
      <c r="C12" s="70" t="n">
        <v>0.984285714285714</v>
      </c>
      <c r="D12" s="59" t="n"/>
      <c r="E12" s="59" t="n">
        <v>90</v>
      </c>
    </row>
    <row r="13" ht="15" customHeight="1" s="43">
      <c r="A13" s="58" t="n">
        <v>46087</v>
      </c>
      <c r="B13" s="69" t="n">
        <v>10.68</v>
      </c>
      <c r="C13" s="70" t="n">
        <v>0.534</v>
      </c>
      <c r="D13" s="59" t="n"/>
      <c r="E13" s="59" t="n">
        <v>99</v>
      </c>
    </row>
    <row r="14" ht="15" customHeight="1" s="43">
      <c r="A14" s="58" t="n">
        <v>46088</v>
      </c>
      <c r="B14" s="69" t="n">
        <v>4.91</v>
      </c>
      <c r="C14" s="70" t="n">
        <v>0.288823529411765</v>
      </c>
      <c r="D14" s="59" t="n"/>
      <c r="E14" s="59" t="n">
        <v>99</v>
      </c>
    </row>
    <row r="15" ht="15" customHeight="1" s="43">
      <c r="A15" s="58" t="n">
        <v>46089</v>
      </c>
      <c r="B15" s="69" t="n">
        <v>1.2</v>
      </c>
      <c r="C15" s="70" t="n">
        <v>0.15</v>
      </c>
      <c r="D15" s="59" t="n"/>
      <c r="E15" s="59" t="n">
        <v>102</v>
      </c>
    </row>
    <row r="16" ht="15" customHeight="1" s="43">
      <c r="A16" s="58" t="n">
        <v>46090</v>
      </c>
      <c r="B16" s="69" t="n">
        <v>9.460000000000001</v>
      </c>
      <c r="C16" s="70" t="n">
        <v>0.727692307692308</v>
      </c>
      <c r="D16" s="59" t="n"/>
      <c r="E16" s="59" t="n">
        <v>108</v>
      </c>
    </row>
    <row r="17" ht="15" customHeight="1" s="43">
      <c r="A17" s="58" t="n">
        <v>46091</v>
      </c>
      <c r="B17" s="69" t="n">
        <v>12.57</v>
      </c>
      <c r="C17" s="70" t="n">
        <v>0.6284999999999999</v>
      </c>
      <c r="D17" s="59" t="n">
        <v>1</v>
      </c>
      <c r="E17" s="59" t="n">
        <v>112</v>
      </c>
    </row>
    <row r="18" ht="15" customHeight="1" s="43">
      <c r="A18" s="58" t="n">
        <v>46092</v>
      </c>
      <c r="B18" s="69" t="n">
        <v>15.56</v>
      </c>
      <c r="C18" s="70" t="n">
        <v>0.818947368421053</v>
      </c>
      <c r="D18" s="59" t="n">
        <v>0</v>
      </c>
      <c r="E18" s="59" t="n">
        <v>115</v>
      </c>
    </row>
    <row r="19" ht="15" customHeight="1" s="43">
      <c r="A19" s="58" t="n">
        <v>46093</v>
      </c>
      <c r="B19" s="69" t="n">
        <v>5.74</v>
      </c>
      <c r="C19" s="70" t="n">
        <v>0.382666666666667</v>
      </c>
      <c r="D19" s="59" t="n">
        <v>0</v>
      </c>
      <c r="E19" s="59" t="n">
        <v>116</v>
      </c>
    </row>
    <row r="20" ht="15" customHeight="1" s="43">
      <c r="A20" s="58" t="n">
        <v>46094</v>
      </c>
      <c r="B20" s="69" t="n">
        <v>15.62</v>
      </c>
      <c r="C20" s="70" t="n">
        <v>0.822105263157895</v>
      </c>
      <c r="D20" s="59" t="n">
        <v>0</v>
      </c>
      <c r="E20" s="59" t="n">
        <v>118</v>
      </c>
    </row>
    <row r="21" ht="15" customHeight="1" s="43">
      <c r="A21" s="58" t="n">
        <v>46095</v>
      </c>
      <c r="B21" s="69" t="n">
        <v>10.35</v>
      </c>
      <c r="C21" s="70" t="n">
        <v>1.035</v>
      </c>
      <c r="D21" s="59" t="n">
        <v>0</v>
      </c>
      <c r="E21" s="59" t="n">
        <v>119</v>
      </c>
    </row>
    <row r="22" ht="15" customHeight="1" s="43">
      <c r="A22" s="58" t="n">
        <v>46096</v>
      </c>
      <c r="B22" s="69" t="n">
        <v>5.2</v>
      </c>
      <c r="C22" s="70" t="n">
        <v>1.04</v>
      </c>
      <c r="D22" s="59" t="n">
        <v>0</v>
      </c>
      <c r="E22" s="59" t="n">
        <v>119</v>
      </c>
    </row>
    <row r="23" ht="15" customHeight="1" s="43">
      <c r="A23" s="58" t="n">
        <v>46097</v>
      </c>
      <c r="B23" s="69" t="n">
        <v>1.01</v>
      </c>
      <c r="C23" s="70" t="n">
        <v>0.202</v>
      </c>
      <c r="D23" s="59" t="n">
        <v>0</v>
      </c>
      <c r="E23" s="59" t="n">
        <v>125</v>
      </c>
    </row>
    <row r="24" ht="15" customHeight="1" s="43">
      <c r="A24" s="58" t="n">
        <v>46098</v>
      </c>
      <c r="B24" s="69" t="n">
        <v>9.77</v>
      </c>
      <c r="C24" s="70" t="n">
        <v>0.574705882352941</v>
      </c>
      <c r="D24" s="59" t="n">
        <v>1</v>
      </c>
      <c r="E24" s="59" t="n">
        <v>127</v>
      </c>
    </row>
    <row r="25" ht="15" customHeight="1" s="43">
      <c r="A25" s="58" t="n">
        <v>46099</v>
      </c>
      <c r="B25" s="69" t="n">
        <v>2.3</v>
      </c>
      <c r="C25" s="70" t="n">
        <v>0.209090909090909</v>
      </c>
      <c r="D25" s="59" t="n">
        <v>0</v>
      </c>
      <c r="E25" s="59" t="n">
        <v>128</v>
      </c>
    </row>
    <row r="26" ht="15" customHeight="1" s="43">
      <c r="A26" s="58" t="n">
        <v>46100</v>
      </c>
      <c r="B26" s="69" t="n">
        <v>7.63</v>
      </c>
      <c r="C26" s="70" t="n">
        <v>0.6936363636363641</v>
      </c>
      <c r="D26" s="59" t="n">
        <v>0</v>
      </c>
      <c r="E26" s="59" t="n">
        <v>130</v>
      </c>
    </row>
    <row r="27" ht="15" customHeight="1" s="43">
      <c r="A27" s="58" t="n">
        <v>46101</v>
      </c>
      <c r="B27" s="69" t="n">
        <v>3.71</v>
      </c>
      <c r="C27" s="70" t="n">
        <v>0.412222222222222</v>
      </c>
      <c r="D27" s="59" t="n">
        <v>0</v>
      </c>
      <c r="E27" s="59" t="n">
        <v>143</v>
      </c>
    </row>
    <row r="28" ht="15" customHeight="1" s="43">
      <c r="A28" s="58" t="n">
        <v>46102</v>
      </c>
      <c r="B28" s="69" t="n">
        <v>7.12</v>
      </c>
      <c r="C28" s="70" t="n">
        <v>0.593333333333333</v>
      </c>
      <c r="D28" s="59" t="n">
        <v>0</v>
      </c>
      <c r="E28" s="59" t="n">
        <v>155</v>
      </c>
    </row>
    <row r="29" ht="15" customHeight="1" s="43">
      <c r="A29" s="58" t="n">
        <v>46103</v>
      </c>
      <c r="B29" s="69" t="n">
        <v>15.72</v>
      </c>
      <c r="C29" s="70" t="n">
        <v>1.12285714285714</v>
      </c>
      <c r="D29" s="59" t="n">
        <v>0</v>
      </c>
      <c r="E29" s="59" t="n">
        <v>160</v>
      </c>
    </row>
    <row r="30" ht="15" customHeight="1" s="43">
      <c r="A30" s="58" t="n">
        <v>46104</v>
      </c>
      <c r="B30" s="69" t="n">
        <v>7.44</v>
      </c>
      <c r="C30" s="70" t="n">
        <v>1.06285714285714</v>
      </c>
      <c r="D30" s="59" t="n">
        <v>0</v>
      </c>
      <c r="E30" s="59" t="n">
        <v>163</v>
      </c>
    </row>
    <row r="31" ht="15" customHeight="1" s="43">
      <c r="A31" s="58" t="n">
        <v>46105</v>
      </c>
      <c r="B31" s="69" t="n">
        <v>4.67</v>
      </c>
      <c r="C31" s="70" t="n">
        <v>0.778333333333333</v>
      </c>
      <c r="D31" s="59" t="n">
        <v>0</v>
      </c>
      <c r="E31" s="59" t="n">
        <v>165</v>
      </c>
    </row>
    <row r="32" ht="15" customHeight="1" s="43">
      <c r="A32" s="58" t="n">
        <v>46106</v>
      </c>
      <c r="B32" s="69" t="n">
        <v>8.01</v>
      </c>
      <c r="C32" s="70" t="n">
        <v>1.00125</v>
      </c>
      <c r="D32" s="59" t="n">
        <v>0</v>
      </c>
      <c r="E32" s="59" t="n">
        <v>167</v>
      </c>
    </row>
    <row r="33" ht="15" customHeight="1" s="43">
      <c r="A33" s="58" t="n">
        <v>46107</v>
      </c>
      <c r="B33" s="69" t="n">
        <v>7.54</v>
      </c>
      <c r="C33" s="70" t="n">
        <v>0.628333333333333</v>
      </c>
      <c r="D33" s="59" t="n">
        <v>0</v>
      </c>
      <c r="E33" s="59" t="n">
        <v>168</v>
      </c>
    </row>
    <row r="34" ht="15" customHeight="1" s="43">
      <c r="A34" s="58" t="n">
        <v>46108</v>
      </c>
      <c r="B34" s="69" t="n">
        <v>7.11</v>
      </c>
      <c r="C34" s="70" t="n">
        <v>0.88875</v>
      </c>
      <c r="D34" s="59" t="n">
        <v>0</v>
      </c>
      <c r="E34" s="59" t="n">
        <v>168</v>
      </c>
    </row>
    <row r="35" ht="15" customHeight="1" s="43">
      <c r="A35" s="58" t="n">
        <v>46109</v>
      </c>
      <c r="B35" s="69" t="n">
        <v>3.23</v>
      </c>
      <c r="C35" s="70" t="n">
        <v>0.538333333333333</v>
      </c>
      <c r="D35" s="59" t="n">
        <v>0</v>
      </c>
      <c r="E35" s="59" t="n">
        <v>169</v>
      </c>
    </row>
    <row r="36" ht="15" customHeight="1" s="43">
      <c r="A36" s="58" t="n">
        <v>46110</v>
      </c>
      <c r="B36" s="69" t="n">
        <v>1.8</v>
      </c>
      <c r="C36" s="70" t="n">
        <v>0.9</v>
      </c>
      <c r="D36" s="59" t="n">
        <v>0</v>
      </c>
      <c r="E36" s="59" t="n">
        <v>169</v>
      </c>
    </row>
    <row r="37" ht="15" customHeight="1" s="43">
      <c r="A37" s="58" t="n">
        <v>46111</v>
      </c>
      <c r="B37" s="69" t="n">
        <v>2.36</v>
      </c>
      <c r="C37" s="70" t="n">
        <v>0.472</v>
      </c>
      <c r="D37" s="59" t="n">
        <v>0</v>
      </c>
      <c r="E37" s="59" t="n">
        <v>169</v>
      </c>
    </row>
    <row r="38" ht="15" customHeight="1" s="43">
      <c r="A38" s="58" t="n">
        <v>46112</v>
      </c>
      <c r="B38" s="69" t="n">
        <v>5.23</v>
      </c>
      <c r="C38" s="70" t="n">
        <v>1.046</v>
      </c>
      <c r="D38" s="59" t="n">
        <v>0</v>
      </c>
      <c r="E38" s="59" t="n">
        <v>169</v>
      </c>
    </row>
    <row r="39" ht="15" customHeight="1" s="43">
      <c r="A39" s="58" t="n">
        <v>46113</v>
      </c>
      <c r="B39" s="69" t="n">
        <v>5.17</v>
      </c>
      <c r="C39" s="70" t="n">
        <v>0.738571428571429</v>
      </c>
      <c r="D39" s="59" t="n">
        <v>0</v>
      </c>
      <c r="E39" s="59" t="n">
        <v>170</v>
      </c>
    </row>
    <row r="40" ht="15" customHeight="1" s="43">
      <c r="A40" s="58" t="n">
        <v>46114</v>
      </c>
      <c r="B40" s="69" t="n">
        <v>0.75</v>
      </c>
      <c r="C40" s="70" t="n">
        <v>0.15</v>
      </c>
      <c r="D40" s="59" t="n">
        <v>0</v>
      </c>
      <c r="E40" s="59" t="n">
        <v>172</v>
      </c>
    </row>
    <row r="41" ht="15" customHeight="1" s="43">
      <c r="A41" s="58" t="n">
        <v>46115</v>
      </c>
      <c r="B41" s="69" t="n">
        <v>1.4</v>
      </c>
      <c r="C41" s="70" t="n">
        <v>0.35</v>
      </c>
      <c r="D41" s="59" t="n">
        <v>0</v>
      </c>
      <c r="E41" s="59" t="n">
        <v>173</v>
      </c>
    </row>
    <row r="42" ht="15" customHeight="1" s="43">
      <c r="A42" s="58" t="n">
        <v>46116</v>
      </c>
      <c r="B42" s="69" t="n">
        <v>3.99</v>
      </c>
      <c r="C42" s="70" t="n">
        <v>1.995</v>
      </c>
      <c r="D42" s="59" t="n">
        <v>0</v>
      </c>
      <c r="E42" s="59" t="n">
        <v>173</v>
      </c>
    </row>
    <row r="43" ht="15" customHeight="1" s="43">
      <c r="A43" s="58" t="n">
        <v>46117</v>
      </c>
      <c r="B43" s="69" t="n">
        <v>2.22</v>
      </c>
      <c r="C43" s="70" t="n">
        <v>0.74</v>
      </c>
      <c r="D43" s="59" t="n">
        <v>0</v>
      </c>
      <c r="E43" s="59" t="n">
        <v>173</v>
      </c>
    </row>
    <row r="44" ht="15" customHeight="1" s="43">
      <c r="A44" s="58" t="n">
        <v>46118</v>
      </c>
      <c r="B44" s="69" t="n">
        <v>5.99</v>
      </c>
      <c r="C44" s="70" t="n">
        <v>0.599</v>
      </c>
      <c r="D44" s="59" t="n">
        <v>0</v>
      </c>
      <c r="E44" s="59" t="n">
        <v>174</v>
      </c>
    </row>
    <row r="45" ht="15" customHeight="1" s="43">
      <c r="A45" s="58" t="n">
        <v>46119</v>
      </c>
      <c r="B45" s="69" t="n">
        <v>0.65</v>
      </c>
      <c r="C45" s="70" t="n">
        <v>0.216666666666667</v>
      </c>
      <c r="D45" s="59" t="n">
        <v>0</v>
      </c>
      <c r="E45" s="59" t="n">
        <v>174</v>
      </c>
    </row>
    <row r="46" ht="15" customHeight="1" s="43">
      <c r="A46" s="58" t="n">
        <v>46120</v>
      </c>
      <c r="B46" s="69" t="n">
        <v>4.11</v>
      </c>
      <c r="C46" s="70" t="n">
        <v>0.822</v>
      </c>
      <c r="D46" s="59" t="n">
        <v>0</v>
      </c>
      <c r="E46" s="59" t="n">
        <v>174</v>
      </c>
    </row>
    <row r="47" ht="15" customHeight="1" s="43">
      <c r="A47" s="58" t="n">
        <v>46121</v>
      </c>
      <c r="B47" s="69" t="n">
        <v>1.02</v>
      </c>
      <c r="C47" s="70" t="n">
        <v>0.255</v>
      </c>
      <c r="D47" s="59" t="n">
        <v>0</v>
      </c>
      <c r="E47" s="59" t="n">
        <v>174</v>
      </c>
    </row>
    <row r="48" ht="15" customHeight="1" s="43">
      <c r="A48" s="58" t="n">
        <v>46122</v>
      </c>
      <c r="B48" s="69" t="n">
        <v>2.25</v>
      </c>
      <c r="C48" s="70" t="n">
        <v>0.45</v>
      </c>
      <c r="D48" s="59" t="n">
        <v>0</v>
      </c>
      <c r="E48" s="59" t="n">
        <v>185</v>
      </c>
    </row>
    <row r="49" ht="15" customHeight="1" s="43">
      <c r="A49" s="58" t="n">
        <v>46123</v>
      </c>
      <c r="B49" s="69" t="n">
        <v>3.23</v>
      </c>
      <c r="C49" s="70" t="n">
        <v>1.07666666666667</v>
      </c>
      <c r="D49" s="59" t="n">
        <v>0</v>
      </c>
      <c r="E49" s="59" t="n">
        <v>188</v>
      </c>
    </row>
    <row r="50" ht="15" customHeight="1" s="43">
      <c r="A50" s="58" t="n">
        <v>46124</v>
      </c>
      <c r="B50" s="69" t="n">
        <v>1.91</v>
      </c>
      <c r="C50" s="70" t="n">
        <v>0.4775</v>
      </c>
      <c r="D50" s="59" t="n">
        <v>0</v>
      </c>
      <c r="E50" s="59" t="n">
        <v>191</v>
      </c>
    </row>
    <row r="51" ht="15" customHeight="1" s="43">
      <c r="A51" s="58" t="n">
        <v>46125</v>
      </c>
      <c r="B51" s="69" t="n">
        <v>3.04</v>
      </c>
      <c r="C51" s="70" t="n">
        <v>0.76</v>
      </c>
      <c r="D51" s="59" t="n">
        <v>0</v>
      </c>
      <c r="E51" s="59" t="n">
        <v>196</v>
      </c>
    </row>
    <row r="52" ht="15" customHeight="1" s="43">
      <c r="A52" s="58" t="n">
        <v>46126</v>
      </c>
      <c r="B52" s="69" t="n">
        <v>5.83</v>
      </c>
      <c r="C52" s="70" t="n">
        <v>1.166</v>
      </c>
      <c r="D52" s="59" t="n">
        <v>0</v>
      </c>
      <c r="E52" s="59" t="n">
        <v>197</v>
      </c>
    </row>
    <row r="53" ht="15" customHeight="1" s="43">
      <c r="A53" s="58" t="n">
        <v>46127</v>
      </c>
      <c r="B53" s="69" t="n">
        <v>1.9</v>
      </c>
      <c r="C53" s="70" t="n">
        <v>0.475</v>
      </c>
      <c r="D53" s="59" t="n">
        <v>0</v>
      </c>
      <c r="E53" s="59" t="n">
        <v>197</v>
      </c>
    </row>
    <row r="54" ht="15" customHeight="1" s="43">
      <c r="A54" s="58" t="n">
        <v>46128</v>
      </c>
      <c r="B54" s="69" t="n">
        <v>3.95</v>
      </c>
      <c r="C54" s="70" t="n">
        <v>0.79</v>
      </c>
      <c r="D54" s="59" t="n">
        <v>0</v>
      </c>
      <c r="E54" s="59" t="n">
        <v>197</v>
      </c>
    </row>
    <row r="55" ht="15" customHeight="1" s="43">
      <c r="A55" s="58" t="n">
        <v>46129</v>
      </c>
      <c r="B55" s="69" t="n">
        <v>1.77</v>
      </c>
      <c r="C55" s="70" t="n">
        <v>0.4425</v>
      </c>
      <c r="D55" s="59" t="n">
        <v>0</v>
      </c>
      <c r="E55" s="59" t="n">
        <v>198</v>
      </c>
    </row>
    <row r="56" ht="15" customHeight="1" s="43">
      <c r="A56" s="58" t="n">
        <v>46130</v>
      </c>
      <c r="B56" s="69" t="n">
        <v>0.74</v>
      </c>
      <c r="C56" s="70" t="n">
        <v>0.37</v>
      </c>
      <c r="D56" s="59" t="n">
        <v>0</v>
      </c>
      <c r="E56" s="59" t="n">
        <v>198</v>
      </c>
    </row>
    <row r="57" ht="15" customHeight="1" s="43">
      <c r="A57" s="58" t="n">
        <v>46131</v>
      </c>
      <c r="B57" s="69" t="n">
        <v>1.15</v>
      </c>
      <c r="C57" s="70" t="n">
        <v>1.15</v>
      </c>
      <c r="D57" s="59" t="n">
        <v>0</v>
      </c>
      <c r="E57" s="59" t="n">
        <v>199</v>
      </c>
    </row>
    <row r="58" ht="15" customHeight="1" s="43">
      <c r="A58" s="58" t="n">
        <v>46132</v>
      </c>
      <c r="B58" s="69" t="n">
        <v>0</v>
      </c>
      <c r="C58" s="70" t="n">
        <v>0</v>
      </c>
      <c r="D58" s="59" t="n">
        <v>0</v>
      </c>
      <c r="E58" s="59" t="n">
        <v>199</v>
      </c>
    </row>
    <row r="59" ht="15" customHeight="1" s="43">
      <c r="A59" s="58" t="n">
        <v>46133</v>
      </c>
      <c r="B59" s="69" t="n">
        <v>2.9</v>
      </c>
      <c r="C59" s="70" t="n">
        <v>0.58</v>
      </c>
      <c r="D59" s="59" t="n">
        <v>0</v>
      </c>
      <c r="E59" s="59" t="n">
        <v>199</v>
      </c>
    </row>
    <row r="60" ht="15" customHeight="1" s="43">
      <c r="A60" s="58" t="n">
        <v>46134</v>
      </c>
      <c r="B60" s="69" t="n">
        <v>1.63</v>
      </c>
      <c r="C60" s="70" t="n">
        <v>0.326</v>
      </c>
      <c r="D60" s="59" t="n">
        <v>0</v>
      </c>
      <c r="E60" s="59" t="n">
        <v>199</v>
      </c>
    </row>
    <row r="61" ht="15" customHeight="1" s="43">
      <c r="A61" s="58" t="n">
        <v>46135</v>
      </c>
      <c r="B61" s="69" t="n">
        <v>3.57</v>
      </c>
      <c r="C61" s="70" t="n">
        <v>0.595</v>
      </c>
      <c r="D61" s="59" t="n">
        <v>0</v>
      </c>
      <c r="E61" s="59" t="n">
        <v>200</v>
      </c>
    </row>
    <row r="62" ht="15" customHeight="1" s="43">
      <c r="A62" s="58" t="n">
        <v>46136</v>
      </c>
      <c r="B62" s="69" t="n">
        <v>4.08</v>
      </c>
      <c r="C62" s="70" t="n">
        <v>1.36</v>
      </c>
      <c r="D62" s="59" t="n">
        <v>0</v>
      </c>
      <c r="E62" s="59" t="n">
        <v>201</v>
      </c>
    </row>
    <row r="63" ht="15" customHeight="1" s="43">
      <c r="A63" s="58" t="n">
        <v>46137</v>
      </c>
      <c r="B63" s="69" t="n">
        <v>2.22</v>
      </c>
      <c r="C63" s="70" t="n">
        <v>0.555</v>
      </c>
      <c r="D63" s="59" t="n">
        <v>0</v>
      </c>
      <c r="E63" s="59" t="n">
        <v>202</v>
      </c>
    </row>
    <row r="64" ht="15" customHeight="1" s="43">
      <c r="A64" s="58" t="n">
        <v>46138</v>
      </c>
      <c r="B64" s="69" t="n">
        <v>0.82</v>
      </c>
      <c r="C64" s="70" t="n">
        <v>0.82</v>
      </c>
      <c r="D64" s="59" t="n">
        <v>0</v>
      </c>
      <c r="E64" s="59" t="n">
        <v>202</v>
      </c>
    </row>
    <row r="65" ht="15" customHeight="1" s="43">
      <c r="A65" s="58" t="n">
        <v>46139</v>
      </c>
      <c r="B65" s="69" t="n">
        <v>2.22</v>
      </c>
      <c r="C65" s="70" t="n">
        <v>1.11</v>
      </c>
      <c r="D65" s="59" t="n">
        <v>0</v>
      </c>
      <c r="E65" s="59" t="n">
        <v>202</v>
      </c>
    </row>
    <row r="66" ht="15" customHeight="1" s="43">
      <c r="A66" s="58" t="n">
        <v>46140</v>
      </c>
      <c r="B66" s="69" t="n">
        <v>0.63</v>
      </c>
      <c r="C66" s="70" t="n">
        <v>0.315</v>
      </c>
      <c r="D66" s="59" t="n">
        <v>0</v>
      </c>
      <c r="E66" s="59" t="n">
        <v>202</v>
      </c>
    </row>
    <row r="67" ht="15" customHeight="1" s="43">
      <c r="A67" s="58" t="n">
        <v>46141</v>
      </c>
      <c r="B67" s="69" t="n">
        <v>1.14</v>
      </c>
      <c r="C67" s="70" t="n">
        <v>0.285</v>
      </c>
      <c r="D67" s="59" t="n">
        <v>0</v>
      </c>
      <c r="E67" s="59" t="n">
        <v>202</v>
      </c>
    </row>
    <row r="68" ht="15" customHeight="1" s="43">
      <c r="A68" s="58" t="n">
        <v>46142</v>
      </c>
      <c r="B68" s="69" t="n">
        <v>0.86</v>
      </c>
      <c r="C68" s="70" t="n">
        <v>0.286666666666667</v>
      </c>
      <c r="D68" s="59" t="n">
        <v>0</v>
      </c>
      <c r="E68" s="59" t="n">
        <v>202</v>
      </c>
    </row>
    <row r="69" ht="15" customHeight="1" s="43">
      <c r="A69" s="58" t="n">
        <v>46143</v>
      </c>
      <c r="B69" s="69" t="n">
        <v>1.48</v>
      </c>
      <c r="C69" s="70" t="n">
        <v>0.493333333333333</v>
      </c>
      <c r="D69" s="59" t="n">
        <v>0</v>
      </c>
      <c r="E69" s="59" t="n">
        <v>202</v>
      </c>
    </row>
    <row r="70" ht="15" customHeight="1" s="43">
      <c r="A70" s="58" t="n">
        <v>46144</v>
      </c>
      <c r="B70" s="69" t="n">
        <v>0.91</v>
      </c>
      <c r="C70" s="70" t="n">
        <v>0.91</v>
      </c>
      <c r="D70" s="59" t="n">
        <v>0</v>
      </c>
      <c r="E70" s="59" t="n">
        <v>202</v>
      </c>
    </row>
    <row r="71" ht="15" customHeight="1" s="43">
      <c r="A71" s="58" t="n">
        <v>46145</v>
      </c>
      <c r="B71" s="69" t="n">
        <v>0.34</v>
      </c>
      <c r="C71" s="70" t="n">
        <v>0.34</v>
      </c>
      <c r="D71" s="59" t="n">
        <v>0</v>
      </c>
      <c r="E71" s="59" t="n">
        <v>202</v>
      </c>
    </row>
    <row r="72" ht="15" customHeight="1" s="43">
      <c r="A72" s="58" t="n">
        <v>46146</v>
      </c>
      <c r="B72" s="69" t="n">
        <v>1.49</v>
      </c>
      <c r="C72" s="70" t="n">
        <v>1.49</v>
      </c>
      <c r="D72" s="59" t="n">
        <v>0</v>
      </c>
      <c r="E72" s="59" t="n">
        <v>202</v>
      </c>
    </row>
    <row r="73" ht="15" customHeight="1" s="43">
      <c r="A73" s="58" t="n">
        <v>46147</v>
      </c>
      <c r="B73" s="69" t="n">
        <v>3.44</v>
      </c>
      <c r="C73" s="70" t="n">
        <v>0.573333333333333</v>
      </c>
      <c r="D73" s="59" t="n">
        <v>0</v>
      </c>
      <c r="E73" s="59" t="n">
        <v>205</v>
      </c>
    </row>
    <row r="74" ht="15" customHeight="1" s="43">
      <c r="A74" s="58" t="n">
        <v>46148</v>
      </c>
      <c r="B74" s="69" t="n">
        <v>4.44</v>
      </c>
      <c r="C74" s="70" t="n">
        <v>0.888</v>
      </c>
      <c r="D74" s="59" t="n">
        <v>0</v>
      </c>
      <c r="E74" s="59" t="n">
        <v>207</v>
      </c>
    </row>
    <row r="75" ht="15" customHeight="1" s="43">
      <c r="A75" s="58" t="n">
        <v>46149</v>
      </c>
      <c r="B75" s="69" t="n">
        <v>2.15</v>
      </c>
      <c r="C75" s="70" t="n">
        <v>0.716666666666667</v>
      </c>
      <c r="D75" s="59" t="n">
        <v>0</v>
      </c>
      <c r="E75" s="59" t="n">
        <v>208</v>
      </c>
    </row>
    <row r="76" ht="15" customHeight="1" s="43">
      <c r="A76" s="58" t="n">
        <v>46150</v>
      </c>
      <c r="B76" s="69" t="n">
        <v>0</v>
      </c>
      <c r="C76" s="70" t="n">
        <v>0</v>
      </c>
      <c r="D76" s="59" t="n">
        <v>0</v>
      </c>
      <c r="E76" s="59" t="n">
        <v>208</v>
      </c>
    </row>
    <row r="77" ht="15" customHeight="1" s="43">
      <c r="A77" s="58" t="n">
        <v>46151</v>
      </c>
      <c r="B77" s="69" t="n">
        <v>0.13</v>
      </c>
      <c r="C77" s="70" t="n">
        <v>0.0433333333333333</v>
      </c>
      <c r="D77" s="59" t="n">
        <v>0</v>
      </c>
      <c r="E77" s="59" t="n">
        <v>208</v>
      </c>
    </row>
    <row r="78" ht="15" customHeight="1" s="43">
      <c r="A78" s="58" t="n">
        <v>46152</v>
      </c>
      <c r="B78" s="69" t="n">
        <v>0.6</v>
      </c>
      <c r="C78" s="70" t="n">
        <v>0.6</v>
      </c>
      <c r="D78" s="59" t="n">
        <v>0</v>
      </c>
      <c r="E78" s="59" t="n">
        <v>208</v>
      </c>
    </row>
    <row r="79" ht="15" customHeight="1" s="43">
      <c r="A79" s="58" t="n">
        <v>46153</v>
      </c>
      <c r="B79" s="69" t="n">
        <v>0.43</v>
      </c>
      <c r="C79" s="70" t="n">
        <v>0.43</v>
      </c>
      <c r="D79" s="59" t="n">
        <v>0</v>
      </c>
      <c r="E79" s="59" t="n">
        <v>208</v>
      </c>
    </row>
    <row r="80" ht="15" customHeight="1" s="43">
      <c r="A80" s="58" t="n">
        <v>46154</v>
      </c>
      <c r="B80" s="69" t="n">
        <v>0</v>
      </c>
      <c r="C80" s="70" t="n">
        <v>0</v>
      </c>
      <c r="D80" s="59" t="n">
        <v>0</v>
      </c>
      <c r="E80" s="59" t="n">
        <v>209</v>
      </c>
    </row>
    <row r="81" ht="15" customHeight="1" s="43">
      <c r="A81" s="58" t="n">
        <v>46155</v>
      </c>
      <c r="B81" s="69" t="n">
        <v>0</v>
      </c>
      <c r="C81" s="70" t="n">
        <v>0</v>
      </c>
      <c r="D81" s="59" t="n">
        <v>0</v>
      </c>
      <c r="E81" s="59" t="n">
        <v>212</v>
      </c>
    </row>
    <row r="82" ht="15" customHeight="1" s="43">
      <c r="A82" s="58" t="n">
        <v>46156</v>
      </c>
      <c r="B82" s="69" t="n">
        <v>0.59</v>
      </c>
      <c r="C82" s="70" t="n">
        <v>0.59</v>
      </c>
      <c r="D82" s="59" t="n">
        <v>0</v>
      </c>
      <c r="E82" s="59" t="n">
        <v>212</v>
      </c>
    </row>
    <row r="83" ht="15" customHeight="1" s="43">
      <c r="A83" s="58" t="n">
        <v>46157</v>
      </c>
      <c r="B83" s="69" t="n">
        <v>0</v>
      </c>
      <c r="C83" s="70" t="n">
        <v>0</v>
      </c>
      <c r="D83" s="59" t="n">
        <v>0</v>
      </c>
      <c r="E83" s="59" t="n">
        <v>212</v>
      </c>
    </row>
    <row r="84" ht="15" customHeight="1" s="43">
      <c r="A84" s="58" t="n">
        <v>46158</v>
      </c>
      <c r="B84" s="69" t="n">
        <v>0.87</v>
      </c>
      <c r="C84" s="70" t="n">
        <v>0.87</v>
      </c>
      <c r="D84" s="59" t="n">
        <v>0</v>
      </c>
      <c r="E84" s="59" t="n">
        <v>212</v>
      </c>
    </row>
    <row r="85" ht="15" customHeight="1" s="43">
      <c r="A85" s="58" t="n">
        <v>46159</v>
      </c>
      <c r="B85" s="69" t="n">
        <v>1.63</v>
      </c>
      <c r="C85" s="70" t="n">
        <v>0.8149999999999999</v>
      </c>
      <c r="D85" s="59" t="n">
        <v>0</v>
      </c>
      <c r="E85" s="59" t="n">
        <v>212</v>
      </c>
    </row>
    <row r="86" ht="15" customHeight="1" s="43">
      <c r="A86" s="58" t="n">
        <v>46160</v>
      </c>
      <c r="B86" s="69" t="n">
        <v>0</v>
      </c>
      <c r="C86" s="70" t="n">
        <v>0</v>
      </c>
      <c r="D86" s="59" t="n">
        <v>0</v>
      </c>
      <c r="E86" s="59" t="n">
        <v>212</v>
      </c>
    </row>
    <row r="87" ht="15" customHeight="1" s="43">
      <c r="A87" s="58" t="n">
        <v>46161</v>
      </c>
      <c r="B87" s="69" t="n">
        <v>1.24</v>
      </c>
      <c r="C87" s="70" t="n">
        <v>0.413333333333333</v>
      </c>
      <c r="D87" s="59" t="n">
        <v>0</v>
      </c>
      <c r="E87" s="59" t="n">
        <v>212</v>
      </c>
    </row>
    <row r="88" ht="15" customHeight="1" s="43">
      <c r="A88" s="58" t="n">
        <v>46162</v>
      </c>
      <c r="B88" s="69" t="n">
        <v>0.3</v>
      </c>
      <c r="C88" s="70" t="n">
        <v>0.3</v>
      </c>
      <c r="D88" s="59" t="n">
        <v>0</v>
      </c>
      <c r="E88" s="59" t="n">
        <v>212</v>
      </c>
    </row>
    <row r="89" ht="15" customHeight="1" s="43">
      <c r="A89" s="58" t="n">
        <v>46163</v>
      </c>
      <c r="B89" s="69" t="n">
        <v>0</v>
      </c>
      <c r="C89" s="70" t="n">
        <v>0</v>
      </c>
      <c r="D89" s="59" t="n">
        <v>0</v>
      </c>
      <c r="E89" s="59" t="n">
        <v>212</v>
      </c>
    </row>
    <row r="90" ht="15" customHeight="1" s="43">
      <c r="A90" s="58" t="n">
        <v>46164</v>
      </c>
      <c r="B90" s="69" t="n">
        <v>1.03</v>
      </c>
      <c r="C90" s="70" t="n">
        <v>1.03</v>
      </c>
      <c r="D90" s="59" t="n">
        <v>0</v>
      </c>
      <c r="E90" s="59" t="n">
        <v>212</v>
      </c>
    </row>
    <row r="91" ht="15" customHeight="1" s="43">
      <c r="A91" s="58" t="n">
        <v>46165</v>
      </c>
      <c r="B91" s="69" t="n">
        <v>0</v>
      </c>
      <c r="C91" s="70" t="n">
        <v>0</v>
      </c>
      <c r="D91" s="59" t="n">
        <v>0</v>
      </c>
      <c r="E91" s="59" t="n">
        <v>212</v>
      </c>
    </row>
    <row r="92" ht="15" customHeight="1" s="43">
      <c r="A92" s="58" t="n">
        <v>46166</v>
      </c>
      <c r="B92" s="69" t="n">
        <v>2.55</v>
      </c>
      <c r="C92" s="70" t="n">
        <v>1.275</v>
      </c>
      <c r="D92" s="59" t="n">
        <v>0</v>
      </c>
      <c r="E92" s="59" t="n">
        <v>213</v>
      </c>
    </row>
    <row r="93" ht="15" customHeight="1" s="43">
      <c r="A93" s="58" t="n">
        <v>46167</v>
      </c>
      <c r="B93" s="69" t="n">
        <v>13.79</v>
      </c>
      <c r="C93" s="70" t="n">
        <v>1.25363636363636</v>
      </c>
      <c r="D93" s="59" t="n">
        <v>0</v>
      </c>
      <c r="E93" s="59" t="n">
        <v>238</v>
      </c>
    </row>
    <row r="94" ht="15" customHeight="1" s="43">
      <c r="A94" s="58" t="n">
        <v>46168</v>
      </c>
      <c r="B94" s="69" t="n">
        <v>11.08</v>
      </c>
      <c r="C94" s="70" t="n">
        <v>0.738666666666667</v>
      </c>
      <c r="D94" s="59" t="n">
        <v>0</v>
      </c>
      <c r="E94" s="59" t="n">
        <v>251</v>
      </c>
    </row>
    <row r="95" ht="15" customHeight="1" s="43">
      <c r="A95" s="58" t="n">
        <v>46169</v>
      </c>
      <c r="B95" s="69" t="n">
        <v>17.58</v>
      </c>
      <c r="C95" s="70" t="n">
        <v>0.879</v>
      </c>
      <c r="D95" s="59" t="n">
        <v>0</v>
      </c>
      <c r="E95" s="59" t="n">
        <v>255</v>
      </c>
    </row>
    <row r="96" ht="15" customHeight="1" s="43">
      <c r="A96" s="58" t="n">
        <v>46170</v>
      </c>
      <c r="B96" s="69" t="n">
        <v>4.99</v>
      </c>
      <c r="C96" s="70" t="n">
        <v>0.499</v>
      </c>
      <c r="D96" s="59" t="n">
        <v>0</v>
      </c>
      <c r="E96" s="59" t="n">
        <v>256</v>
      </c>
    </row>
    <row r="97" ht="15" customHeight="1" s="43">
      <c r="A97" s="58" t="n">
        <v>46171</v>
      </c>
      <c r="B97" s="69" t="n">
        <v>7.86</v>
      </c>
      <c r="C97" s="70" t="n">
        <v>0.655</v>
      </c>
      <c r="D97" s="59" t="n">
        <v>0</v>
      </c>
      <c r="E97" s="59" t="n">
        <v>259</v>
      </c>
    </row>
    <row r="98" ht="15" customHeight="1" s="43">
      <c r="A98" s="58" t="n">
        <v>46172</v>
      </c>
      <c r="B98" s="69" t="n">
        <v>1.79</v>
      </c>
      <c r="C98" s="70" t="n">
        <v>0.596666666666667</v>
      </c>
      <c r="D98" s="59" t="n">
        <v>0</v>
      </c>
      <c r="E98" s="59" t="n">
        <v>263</v>
      </c>
    </row>
    <row r="99" ht="15" customHeight="1" s="43">
      <c r="A99" s="58" t="n">
        <v>46173</v>
      </c>
      <c r="B99" s="69" t="n">
        <v>6.93</v>
      </c>
      <c r="C99" s="70" t="n">
        <v>0.86625</v>
      </c>
      <c r="D99" s="59" t="n">
        <v>0</v>
      </c>
      <c r="E99" s="59" t="n">
        <v>265</v>
      </c>
    </row>
    <row r="100" ht="15" customHeight="1" s="43">
      <c r="A100" s="58" t="n">
        <v>46174</v>
      </c>
      <c r="B100" s="69" t="n">
        <v>3.08</v>
      </c>
      <c r="C100" s="70" t="n">
        <v>0.513333333333333</v>
      </c>
      <c r="D100" s="59" t="n">
        <v>0</v>
      </c>
      <c r="E100" s="59" t="n">
        <v>265</v>
      </c>
    </row>
    <row r="101" ht="15" customHeight="1" s="43">
      <c r="A101" s="58" t="n">
        <v>46175</v>
      </c>
      <c r="B101" s="69" t="n">
        <v>4.88</v>
      </c>
      <c r="C101" s="70" t="n">
        <v>0.488</v>
      </c>
      <c r="D101" s="59" t="n">
        <v>0</v>
      </c>
      <c r="E101" s="59" t="n">
        <v>266</v>
      </c>
    </row>
    <row r="102" ht="15" customHeight="1" s="43">
      <c r="A102" s="58" t="n">
        <v>46176</v>
      </c>
      <c r="B102" s="69" t="n">
        <v>3.8</v>
      </c>
      <c r="C102" s="70" t="n">
        <v>0.475</v>
      </c>
      <c r="D102" s="59" t="n">
        <v>0</v>
      </c>
      <c r="E102" s="59" t="n">
        <v>269</v>
      </c>
    </row>
    <row r="103" ht="15" customHeight="1" s="43">
      <c r="A103" s="58" t="n">
        <v>46177</v>
      </c>
      <c r="B103" s="69" t="n">
        <v>14.48</v>
      </c>
      <c r="C103" s="70" t="n">
        <v>0.762105263157895</v>
      </c>
      <c r="D103" s="59" t="n">
        <v>0</v>
      </c>
      <c r="E103" s="59" t="n">
        <v>271</v>
      </c>
    </row>
    <row r="104" ht="15" customHeight="1" s="43">
      <c r="A104" s="58" t="n">
        <v>46178</v>
      </c>
      <c r="B104" s="69" t="n">
        <v>6.75</v>
      </c>
      <c r="C104" s="70" t="n">
        <v>0.75</v>
      </c>
      <c r="D104" s="59" t="n">
        <v>0</v>
      </c>
      <c r="E104" s="59" t="n">
        <v>272</v>
      </c>
    </row>
    <row r="105" ht="15" customHeight="1" s="43">
      <c r="A105" s="58" t="n">
        <v>46179</v>
      </c>
      <c r="B105" s="69" t="n">
        <v>2.2</v>
      </c>
      <c r="C105" s="70" t="n">
        <v>0.314285714285714</v>
      </c>
      <c r="D105" s="59" t="n">
        <v>0</v>
      </c>
      <c r="E105" s="59" t="n">
        <v>272</v>
      </c>
    </row>
    <row r="106" ht="15" customHeight="1" s="43">
      <c r="A106" s="58" t="n">
        <v>46180</v>
      </c>
      <c r="B106" s="69" t="n">
        <v>1.62</v>
      </c>
      <c r="C106" s="70" t="n">
        <v>0.324</v>
      </c>
      <c r="D106" s="59" t="n">
        <v>0</v>
      </c>
      <c r="E106" s="59" t="n">
        <v>272</v>
      </c>
    </row>
    <row r="107" ht="15" customHeight="1" s="43">
      <c r="A107" s="58" t="n">
        <v>46181</v>
      </c>
      <c r="B107" s="69" t="n">
        <v>1.62</v>
      </c>
      <c r="C107" s="70" t="n">
        <v>0.54</v>
      </c>
      <c r="D107" s="59" t="n">
        <v>0</v>
      </c>
      <c r="E107" s="59" t="n">
        <v>274</v>
      </c>
    </row>
    <row r="108" ht="15" customHeight="1" s="43">
      <c r="A108" s="58" t="n">
        <v>46182</v>
      </c>
      <c r="B108" s="69" t="n">
        <v>8.07</v>
      </c>
      <c r="C108" s="70" t="n">
        <v>0.8966666666666669</v>
      </c>
      <c r="D108" s="59" t="n">
        <v>0</v>
      </c>
      <c r="E108" s="59" t="n">
        <v>274</v>
      </c>
    </row>
    <row r="109" ht="15" customHeight="1" s="43">
      <c r="A109" s="58" t="n">
        <v>46183</v>
      </c>
      <c r="B109" s="69" t="n">
        <v>0.68</v>
      </c>
      <c r="C109" s="70" t="n">
        <v>0.226666666666667</v>
      </c>
      <c r="D109" s="59" t="n">
        <v>0</v>
      </c>
      <c r="E109" s="59" t="n">
        <v>276</v>
      </c>
    </row>
    <row r="110" ht="15" customHeight="1" s="43">
      <c r="A110" s="58" t="n">
        <v>46184</v>
      </c>
      <c r="B110" s="69" t="n">
        <v>3.75</v>
      </c>
      <c r="C110" s="70" t="n">
        <v>0.9375</v>
      </c>
      <c r="D110" s="59" t="n">
        <v>0</v>
      </c>
      <c r="E110" s="59" t="n">
        <v>276</v>
      </c>
    </row>
    <row r="111" ht="15" customHeight="1" s="43">
      <c r="A111" s="58" t="n">
        <v>46185</v>
      </c>
      <c r="B111" s="69" t="n">
        <v>1.25</v>
      </c>
      <c r="C111" s="70" t="n">
        <v>0.3125</v>
      </c>
      <c r="D111" s="59" t="n">
        <v>0</v>
      </c>
      <c r="E111" s="59" t="n">
        <v>276</v>
      </c>
    </row>
    <row r="112" ht="15" customHeight="1" s="43">
      <c r="A112" s="58" t="n">
        <v>46186</v>
      </c>
      <c r="B112" s="69" t="n">
        <v>0.51</v>
      </c>
      <c r="C112" s="70" t="n">
        <v>0.51</v>
      </c>
      <c r="D112" s="59" t="n">
        <v>0</v>
      </c>
      <c r="E112" s="59" t="n">
        <v>277</v>
      </c>
    </row>
    <row r="113" ht="15" customHeight="1" s="43">
      <c r="A113" s="58" t="n">
        <v>46187</v>
      </c>
      <c r="B113" s="69" t="n">
        <v>0.7</v>
      </c>
      <c r="C113" s="70" t="n">
        <v>0.7</v>
      </c>
      <c r="D113" s="59" t="n">
        <v>0</v>
      </c>
      <c r="E113" s="59" t="n">
        <v>277</v>
      </c>
    </row>
    <row r="114" ht="15" customHeight="1" s="43">
      <c r="A114" s="58" t="n">
        <v>46188</v>
      </c>
      <c r="B114" s="69" t="n">
        <v>0</v>
      </c>
      <c r="C114" s="70" t="n">
        <v>0</v>
      </c>
      <c r="D114" s="59" t="n">
        <v>0</v>
      </c>
      <c r="E114" s="59" t="n">
        <v>277</v>
      </c>
    </row>
    <row r="115" ht="15" customHeight="1" s="43">
      <c r="A115" s="58" t="n">
        <v>46189</v>
      </c>
      <c r="B115" s="69" t="n">
        <v>0</v>
      </c>
      <c r="C115" s="70" t="n">
        <v>0</v>
      </c>
      <c r="D115" s="59" t="n">
        <v>0</v>
      </c>
      <c r="E115" s="59" t="n">
        <v>277</v>
      </c>
    </row>
    <row r="116" ht="15" customHeight="1" s="43">
      <c r="A116" s="58" t="n">
        <v>46190</v>
      </c>
      <c r="B116" s="69" t="n">
        <v>0</v>
      </c>
      <c r="C116" s="70" t="n">
        <v>0</v>
      </c>
      <c r="D116" s="59" t="n">
        <v>0</v>
      </c>
      <c r="E116" s="59" t="n">
        <v>277</v>
      </c>
    </row>
    <row r="117" ht="15" customHeight="1" s="43">
      <c r="A117" s="58" t="n">
        <v>46191</v>
      </c>
      <c r="B117" s="69" t="n">
        <v>1.46</v>
      </c>
      <c r="C117" s="70" t="n">
        <v>0.73</v>
      </c>
      <c r="D117" s="59" t="n">
        <v>0</v>
      </c>
      <c r="E117" s="59" t="n">
        <v>277</v>
      </c>
    </row>
    <row r="118" ht="15" customHeight="1" s="43">
      <c r="A118" s="58" t="n">
        <v>46192</v>
      </c>
      <c r="B118" s="69" t="n">
        <v>5.51</v>
      </c>
      <c r="C118" s="70" t="n">
        <v>0.551</v>
      </c>
      <c r="D118" s="59" t="n">
        <v>0</v>
      </c>
      <c r="E118" s="59" t="n">
        <v>277</v>
      </c>
    </row>
    <row r="119" ht="15" customHeight="1" s="43">
      <c r="A119" s="58" t="n">
        <v>46193</v>
      </c>
      <c r="B119" s="69" t="n">
        <v>3.1</v>
      </c>
      <c r="C119" s="70" t="n">
        <v>0.3875</v>
      </c>
      <c r="D119" s="59" t="n">
        <v>0</v>
      </c>
      <c r="E119" s="59" t="n">
        <v>278</v>
      </c>
    </row>
    <row r="120" ht="15" customHeight="1" s="43">
      <c r="A120" s="58" t="n">
        <v>46194</v>
      </c>
      <c r="B120" s="69" t="n">
        <v>3.08</v>
      </c>
      <c r="C120" s="70" t="n">
        <v>0.616</v>
      </c>
      <c r="D120" s="59" t="n">
        <v>0</v>
      </c>
      <c r="E120" s="59" t="n">
        <v>278</v>
      </c>
    </row>
    <row r="121" ht="15" customHeight="1" s="43">
      <c r="A121" s="58" t="n">
        <v>46195</v>
      </c>
      <c r="B121" s="69" t="n">
        <v>1.69</v>
      </c>
      <c r="C121" s="70" t="n">
        <v>0.563333333333333</v>
      </c>
      <c r="D121" s="59" t="n">
        <v>0</v>
      </c>
      <c r="E121" s="59" t="n">
        <v>278</v>
      </c>
    </row>
    <row r="122" ht="15" customHeight="1" s="43">
      <c r="A122" s="58" t="n">
        <v>46196</v>
      </c>
      <c r="B122" s="69" t="n">
        <v>2.13</v>
      </c>
      <c r="C122" s="70" t="n">
        <v>0.426</v>
      </c>
      <c r="D122" s="59" t="n">
        <v>0</v>
      </c>
      <c r="E122" s="59" t="n">
        <v>278</v>
      </c>
    </row>
    <row r="123" ht="15" customHeight="1" s="43">
      <c r="A123" s="58" t="n">
        <v>46197</v>
      </c>
      <c r="B123" s="69" t="n">
        <v>4.61</v>
      </c>
      <c r="C123" s="70" t="n">
        <v>1.1525</v>
      </c>
      <c r="D123" s="59" t="n">
        <v>0</v>
      </c>
      <c r="E123" s="59" t="n">
        <v>278</v>
      </c>
    </row>
    <row r="124" ht="15" customHeight="1" s="43">
      <c r="A124" s="58" t="n">
        <v>46198</v>
      </c>
      <c r="B124" s="69" t="n">
        <v>4.58</v>
      </c>
      <c r="C124" s="70" t="n">
        <v>0.654285714285714</v>
      </c>
      <c r="D124" s="59" t="n">
        <v>1</v>
      </c>
      <c r="E124" s="59" t="n">
        <v>279</v>
      </c>
    </row>
    <row r="125" ht="15" customHeight="1" s="43">
      <c r="A125" s="58" t="n">
        <v>46199</v>
      </c>
      <c r="B125" s="69" t="n">
        <v>0.09</v>
      </c>
      <c r="C125" s="70" t="n">
        <v>0.045</v>
      </c>
      <c r="D125" s="59" t="n">
        <v>0</v>
      </c>
      <c r="E125" s="59" t="n">
        <v>279</v>
      </c>
    </row>
    <row r="126" ht="15" customHeight="1" s="43">
      <c r="A126" s="58" t="n">
        <v>46200</v>
      </c>
      <c r="B126" s="69" t="n">
        <v>0.88</v>
      </c>
      <c r="C126" s="70" t="n">
        <v>0.88</v>
      </c>
      <c r="D126" s="59" t="n">
        <v>0</v>
      </c>
      <c r="E126" s="59" t="n">
        <v>279</v>
      </c>
    </row>
    <row r="127" ht="15" customHeight="1" s="43">
      <c r="A127" s="58" t="n">
        <v>46201</v>
      </c>
      <c r="B127" s="69" t="n">
        <v>0.55</v>
      </c>
      <c r="C127" s="70" t="n">
        <v>0.55</v>
      </c>
      <c r="D127" s="59" t="n">
        <v>0</v>
      </c>
      <c r="E127" s="59" t="n">
        <v>279</v>
      </c>
    </row>
    <row r="128" ht="15" customHeight="1" s="43">
      <c r="A128" s="58" t="n">
        <v>46202</v>
      </c>
      <c r="B128" s="69" t="n">
        <v>1.98</v>
      </c>
      <c r="C128" s="70" t="n">
        <v>0.396</v>
      </c>
      <c r="D128" s="59" t="n">
        <v>0</v>
      </c>
      <c r="E128" s="59" t="n">
        <v>280</v>
      </c>
    </row>
    <row r="129" ht="15" customHeight="1" s="43">
      <c r="A129" s="58" t="n">
        <v>46203</v>
      </c>
      <c r="B129" s="69" t="n">
        <v>4.17</v>
      </c>
      <c r="C129" s="70" t="n">
        <v>0.3475</v>
      </c>
      <c r="D129" s="59" t="n">
        <v>0</v>
      </c>
      <c r="E129" s="59" t="n">
        <v>282</v>
      </c>
    </row>
    <row r="130" ht="15" customHeight="1" s="43">
      <c r="A130" s="58" t="n">
        <v>46204</v>
      </c>
      <c r="B130" s="69" t="n">
        <v>5.4</v>
      </c>
      <c r="C130" s="70" t="n">
        <v>0.771428571428572</v>
      </c>
      <c r="D130" s="59" t="n">
        <v>0</v>
      </c>
      <c r="E130" s="59" t="n">
        <v>283</v>
      </c>
    </row>
    <row r="131" ht="15" customHeight="1" s="43">
      <c r="A131" s="58" t="n">
        <v>46205</v>
      </c>
      <c r="B131" s="69" t="n">
        <v>5.64</v>
      </c>
      <c r="C131" s="70" t="n">
        <v>0.9399999999999999</v>
      </c>
      <c r="D131" s="59" t="n">
        <v>0</v>
      </c>
      <c r="E131" s="59" t="n">
        <v>283</v>
      </c>
    </row>
    <row r="132" ht="15" customHeight="1" s="43">
      <c r="A132" s="58" t="n">
        <v>46206</v>
      </c>
      <c r="B132" s="69" t="n">
        <v>0.21</v>
      </c>
      <c r="C132" s="70" t="n">
        <v>0.105</v>
      </c>
      <c r="D132" s="59" t="n">
        <v>0</v>
      </c>
      <c r="E132" s="59" t="n">
        <v>283</v>
      </c>
    </row>
    <row r="133" ht="15" customHeight="1" s="43">
      <c r="A133" s="58" t="n">
        <v>46207</v>
      </c>
      <c r="B133" s="69" t="n">
        <v>0.99</v>
      </c>
      <c r="C133" s="70" t="n">
        <v>0.2475</v>
      </c>
      <c r="D133" s="59" t="n">
        <v>0</v>
      </c>
      <c r="E133" s="59" t="n">
        <v>283</v>
      </c>
    </row>
    <row r="134" ht="15" customHeight="1" s="43">
      <c r="A134" s="58" t="n">
        <v>46208</v>
      </c>
      <c r="B134" s="69" t="n">
        <v>1.56</v>
      </c>
      <c r="C134" s="70" t="n">
        <v>0.312</v>
      </c>
      <c r="D134" s="59" t="n">
        <v>0</v>
      </c>
      <c r="E134" s="59" t="n">
        <v>284</v>
      </c>
    </row>
    <row r="135" ht="15" customHeight="1" s="43">
      <c r="A135" s="58" t="n">
        <v>46209</v>
      </c>
      <c r="B135" s="69" t="n">
        <v>1.53</v>
      </c>
      <c r="C135" s="70" t="n">
        <v>0.3825</v>
      </c>
      <c r="D135" s="59" t="n">
        <v>0</v>
      </c>
      <c r="E135" s="59" t="n">
        <v>284</v>
      </c>
    </row>
    <row r="136" ht="15" customHeight="1" s="43">
      <c r="A136" s="58" t="n">
        <v>46210</v>
      </c>
      <c r="B136" s="69" t="n">
        <v>1.79</v>
      </c>
      <c r="C136" s="70" t="n">
        <v>0.596666666666667</v>
      </c>
      <c r="D136" s="59" t="n">
        <v>0</v>
      </c>
      <c r="E136" s="59" t="n">
        <v>284</v>
      </c>
    </row>
    <row r="137" ht="15" customHeight="1" s="43">
      <c r="A137" s="58" t="n">
        <v>46211</v>
      </c>
      <c r="B137" s="69" t="n">
        <v>3.53</v>
      </c>
      <c r="C137" s="70" t="n">
        <v>0.706</v>
      </c>
      <c r="D137" s="59" t="n">
        <v>0</v>
      </c>
      <c r="E137" s="59" t="n">
        <v>284</v>
      </c>
    </row>
    <row r="138" ht="15" customHeight="1" s="43">
      <c r="A138" s="58" t="n">
        <v>46212</v>
      </c>
      <c r="B138" s="69" t="n">
        <v>3.61</v>
      </c>
      <c r="C138" s="70" t="n">
        <v>0.9025</v>
      </c>
      <c r="D138" s="59" t="n">
        <v>0</v>
      </c>
      <c r="E138" s="59" t="n">
        <v>284</v>
      </c>
    </row>
    <row r="139" ht="15" customHeight="1" s="43">
      <c r="A139" s="58" t="n">
        <v>46213</v>
      </c>
      <c r="B139" s="69" t="n">
        <v>0.27</v>
      </c>
      <c r="C139" s="70" t="n">
        <v>0.135</v>
      </c>
      <c r="D139" s="59" t="n">
        <v>0</v>
      </c>
      <c r="E139" s="59" t="n">
        <v>284</v>
      </c>
    </row>
    <row r="140" ht="15" customHeight="1" s="43">
      <c r="A140" s="58" t="n">
        <v>46214</v>
      </c>
      <c r="B140" s="69" t="n">
        <v>7.83</v>
      </c>
      <c r="C140" s="70" t="n">
        <v>1.305</v>
      </c>
      <c r="D140" s="59" t="n">
        <v>0</v>
      </c>
      <c r="E140" s="59" t="n">
        <v>284</v>
      </c>
    </row>
    <row r="141" ht="15" customHeight="1" s="43">
      <c r="A141" s="58" t="n">
        <v>46215</v>
      </c>
      <c r="B141" s="69" t="n">
        <v>0.86</v>
      </c>
      <c r="C141" s="70" t="n">
        <v>0.86</v>
      </c>
      <c r="D141" s="59" t="n">
        <v>0</v>
      </c>
      <c r="E141" s="59" t="n">
        <v>283</v>
      </c>
    </row>
    <row r="142" ht="15" customHeight="1" s="43">
      <c r="A142" s="58" t="n">
        <v>46216</v>
      </c>
      <c r="B142" s="69" t="n">
        <v>0.17</v>
      </c>
      <c r="C142" s="70" t="n">
        <v>0.17</v>
      </c>
      <c r="D142" s="59" t="n">
        <v>0</v>
      </c>
      <c r="E142" s="59" t="n">
        <v>283</v>
      </c>
    </row>
    <row r="143" ht="15" customHeight="1" s="43">
      <c r="A143" s="58" t="n">
        <v>46217</v>
      </c>
      <c r="B143" s="69" t="n">
        <v>5.09</v>
      </c>
      <c r="C143" s="70" t="n">
        <v>2.545</v>
      </c>
      <c r="D143" s="59" t="n">
        <v>0</v>
      </c>
      <c r="E143" s="59" t="n">
        <v>283</v>
      </c>
    </row>
    <row r="144" ht="15" customHeight="1" s="43">
      <c r="A144" s="58" t="n">
        <v>46218</v>
      </c>
      <c r="B144" s="69" t="n">
        <v>0</v>
      </c>
      <c r="C144" s="70" t="n">
        <v>0</v>
      </c>
      <c r="D144" s="59" t="n"/>
      <c r="E144" s="59" t="n"/>
    </row>
  </sheetData>
  <autoFilter ref="A1:E14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D11"/>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42" min="1" max="1"/>
    <col width="18" customWidth="1" style="42" min="2" max="2"/>
    <col width="14" customWidth="1" style="42" min="3" max="3"/>
    <col width="40" customWidth="1" style="42" min="4" max="4"/>
  </cols>
  <sheetData>
    <row r="1" ht="26.25" customHeight="1" s="43">
      <c r="A1" s="46" t="inlineStr">
        <is>
          <t>Episode title</t>
        </is>
      </c>
      <c r="B1" s="46" t="inlineStr">
        <is>
          <t>Completion rate (%)</t>
        </is>
      </c>
      <c r="C1" s="46" t="inlineStr">
        <is>
          <t>Publish date</t>
        </is>
      </c>
      <c r="D1" s="46" t="inlineStr">
        <is>
          <t>Episode URI</t>
        </is>
      </c>
    </row>
    <row r="2" ht="15" customHeight="1" s="43">
      <c r="A2" s="71" t="inlineStr">
        <is>
          <t>Trailer: What is The Melting Pod?</t>
        </is>
      </c>
      <c r="B2" s="72" t="n">
        <v>0</v>
      </c>
      <c r="C2" s="58" t="n">
        <v>46076</v>
      </c>
      <c r="D2" s="71" t="inlineStr">
        <is>
          <t>spotify:episode:6Px4nR8PVDyK3XQAovvSVJ</t>
        </is>
      </c>
    </row>
    <row r="3" ht="15" customHeight="1" s="43">
      <c r="A3" s="71" t="inlineStr">
        <is>
          <t>Welcome to The Melting Pod</t>
        </is>
      </c>
      <c r="B3" s="72" t="n">
        <v>50</v>
      </c>
      <c r="C3" s="58" t="n">
        <v>46076</v>
      </c>
      <c r="D3" s="71" t="inlineStr">
        <is>
          <t>spotify:episode:7ulKn8vAnz66u2H59ojW1O</t>
        </is>
      </c>
    </row>
    <row r="4" ht="15" customHeight="1" s="43">
      <c r="A4" s="71" t="inlineStr">
        <is>
          <t>Biden and the Border (Part 1), with Charanya Krishnaswami</t>
        </is>
      </c>
      <c r="B4" s="72" t="n">
        <v>53</v>
      </c>
      <c r="C4" s="58" t="n">
        <v>46076</v>
      </c>
      <c r="D4" s="71" t="inlineStr">
        <is>
          <t>spotify:episode:25UHBkE8qqFX6J9rAnapKk</t>
        </is>
      </c>
    </row>
    <row r="5" ht="15" customHeight="1" s="43">
      <c r="A5" s="71" t="inlineStr">
        <is>
          <t>The Heartbreak of Immigration Reform, with Esther Olavarria</t>
        </is>
      </c>
      <c r="B5" s="72" t="n">
        <v>44</v>
      </c>
      <c r="C5" s="58" t="n">
        <v>46083</v>
      </c>
      <c r="D5" s="71" t="inlineStr">
        <is>
          <t>spotify:episode:4Z02PAQwKc0j9Xi6ywaPMj</t>
        </is>
      </c>
    </row>
    <row r="6" ht="15" customHeight="1" s="43">
      <c r="A6" s="71" t="inlineStr">
        <is>
          <t>DACA and the Dreamer Movement, with Felicia Escobar Carrillo</t>
        </is>
      </c>
      <c r="B6" s="72" t="n">
        <v>56</v>
      </c>
      <c r="C6" s="58" t="n">
        <v>46090</v>
      </c>
      <c r="D6" s="71" t="inlineStr">
        <is>
          <t>spotify:episode:4C2LTXeP1jfCez8NqAjIhu</t>
        </is>
      </c>
    </row>
    <row r="7" ht="15" customHeight="1" s="43">
      <c r="A7" s="71" t="inlineStr">
        <is>
          <t>Who’s Afraid of the H-1B?</t>
        </is>
      </c>
      <c r="B7" s="72" t="n">
        <v>35</v>
      </c>
      <c r="C7" s="58" t="n">
        <v>46098</v>
      </c>
      <c r="D7" s="71" t="inlineStr">
        <is>
          <t>spotify:episode:1hjwD7uZrlqEVOQjuJzwts</t>
        </is>
      </c>
    </row>
    <row r="8" ht="15" customHeight="1" s="43">
      <c r="A8" s="71" t="inlineStr">
        <is>
          <t>The Truth About ICE, with Jason Houser</t>
        </is>
      </c>
      <c r="B8" s="72" t="n">
        <v>45</v>
      </c>
      <c r="C8" s="58" t="n">
        <v>46168</v>
      </c>
      <c r="D8" s="71" t="inlineStr">
        <is>
          <t>spotify:episode:0Z6OrGNWMHtoO8IYF8dygi</t>
        </is>
      </c>
    </row>
    <row r="9" ht="15" customHeight="1" s="43">
      <c r="A9" s="71" t="inlineStr">
        <is>
          <t>News Digest: Green Card Chaos, Hunger Strikes, and Stern Dad Energy</t>
        </is>
      </c>
      <c r="B9" s="72" t="n">
        <v>39</v>
      </c>
      <c r="C9" s="58" t="n">
        <v>46176</v>
      </c>
      <c r="D9" s="71" t="inlineStr">
        <is>
          <t>spotify:episode:7H4wz85uVoComLYO4tfkrF</t>
        </is>
      </c>
    </row>
    <row r="10" ht="15" customHeight="1" s="43">
      <c r="A10" s="71" t="inlineStr">
        <is>
          <t>The Reality-Based Economics of Immigration, with Jenny Hunt</t>
        </is>
      </c>
      <c r="B10" s="72" t="n">
        <v>46</v>
      </c>
      <c r="C10" s="58" t="n">
        <v>46192</v>
      </c>
      <c r="D10" s="71" t="inlineStr">
        <is>
          <t>spotify:episode:3WuQQ50zJ0Kt6lq8NnJTEH</t>
        </is>
      </c>
    </row>
    <row r="11" ht="15" customHeight="1" s="43">
      <c r="A11" s="71" t="inlineStr">
        <is>
          <t>A Winning Message on Immigration, with Beatriz Lopez</t>
        </is>
      </c>
      <c r="B11" s="72" t="n">
        <v>42</v>
      </c>
      <c r="C11" s="58" t="n">
        <v>46203</v>
      </c>
      <c r="D11" s="71" t="inlineStr">
        <is>
          <t>spotify:episode:5rKWLDNahHoIRLMISp4vQj</t>
        </is>
      </c>
    </row>
  </sheetData>
  <autoFilter ref="A1:D1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B21"/>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2" min="1" max="1"/>
    <col width="18" customWidth="1" style="42" min="2" max="2"/>
  </cols>
  <sheetData>
    <row r="1" ht="26.25" customHeight="1" s="43">
      <c r="A1" s="46" t="inlineStr">
        <is>
          <t>Week starting</t>
        </is>
      </c>
      <c r="B1" s="46" t="inlineStr">
        <is>
          <t>Retention rate (%)</t>
        </is>
      </c>
    </row>
    <row r="2" ht="15" customHeight="1" s="43">
      <c r="A2" s="58" t="n">
        <v>46076</v>
      </c>
      <c r="B2" s="73" t="n">
        <v>37.83784</v>
      </c>
    </row>
    <row r="3" ht="15" customHeight="1" s="43">
      <c r="A3" s="58" t="n">
        <v>46083</v>
      </c>
      <c r="B3" s="73" t="n">
        <v>30</v>
      </c>
    </row>
    <row r="4" ht="15" customHeight="1" s="43">
      <c r="A4" s="58" t="n">
        <v>46090</v>
      </c>
      <c r="B4" s="73" t="n">
        <v>34.48276</v>
      </c>
    </row>
    <row r="5" ht="15" customHeight="1" s="43">
      <c r="A5" s="58" t="n">
        <v>46097</v>
      </c>
      <c r="B5" s="73" t="n">
        <v>28</v>
      </c>
    </row>
    <row r="6" ht="15" customHeight="1" s="43">
      <c r="A6" s="58" t="n">
        <v>46104</v>
      </c>
      <c r="B6" s="73" t="n">
        <v>14.285715</v>
      </c>
    </row>
    <row r="7" ht="15" customHeight="1" s="43">
      <c r="A7" s="58" t="n">
        <v>46111</v>
      </c>
      <c r="B7" s="73" t="n">
        <v>21.052632</v>
      </c>
    </row>
    <row r="8" ht="15" customHeight="1" s="43">
      <c r="A8" s="58" t="n">
        <v>46118</v>
      </c>
      <c r="B8" s="73" t="n">
        <v>25</v>
      </c>
    </row>
    <row r="9" ht="15" customHeight="1" s="43">
      <c r="A9" s="58" t="n">
        <v>46125</v>
      </c>
      <c r="B9" s="73" t="n">
        <v>14.285715</v>
      </c>
    </row>
    <row r="10" ht="15" customHeight="1" s="43">
      <c r="A10" s="58" t="n">
        <v>46132</v>
      </c>
      <c r="B10" s="73" t="n">
        <v>25</v>
      </c>
    </row>
    <row r="11" ht="15" customHeight="1" s="43">
      <c r="A11" s="58" t="n">
        <v>46139</v>
      </c>
      <c r="B11" s="73" t="n">
        <v>22.222222</v>
      </c>
    </row>
    <row r="12" ht="15" customHeight="1" s="43">
      <c r="A12" s="58" t="n">
        <v>46146</v>
      </c>
      <c r="B12" s="73" t="n">
        <v>8.3333336</v>
      </c>
    </row>
    <row r="13" ht="15" customHeight="1" s="43">
      <c r="A13" s="58" t="n">
        <v>46153</v>
      </c>
      <c r="B13" s="73" t="n">
        <v>0</v>
      </c>
    </row>
    <row r="14" ht="15" customHeight="1" s="43">
      <c r="A14" s="58" t="n">
        <v>46160</v>
      </c>
      <c r="B14" s="73" t="n">
        <v>20</v>
      </c>
    </row>
    <row r="15" ht="15" customHeight="1" s="43">
      <c r="A15" s="58" t="n">
        <v>46167</v>
      </c>
      <c r="B15" s="73" t="n">
        <v>29.090908</v>
      </c>
    </row>
    <row r="16" ht="15" customHeight="1" s="43">
      <c r="A16" s="58" t="n">
        <v>46174</v>
      </c>
      <c r="B16" s="73" t="n">
        <v>21.052632</v>
      </c>
    </row>
    <row r="17" ht="15" customHeight="1" s="43">
      <c r="A17" s="58" t="n">
        <v>46181</v>
      </c>
      <c r="B17" s="73" t="n">
        <v>17.64706</v>
      </c>
    </row>
    <row r="18" ht="15" customHeight="1" s="43">
      <c r="A18" s="58" t="n">
        <v>46188</v>
      </c>
      <c r="B18" s="73" t="n">
        <v>21.052632</v>
      </c>
    </row>
    <row r="19" ht="15" customHeight="1" s="43">
      <c r="A19" s="58" t="n">
        <v>46195</v>
      </c>
      <c r="B19" s="73" t="n">
        <v>41.17647</v>
      </c>
    </row>
    <row r="20" ht="15" customHeight="1" s="43">
      <c r="A20" s="58" t="n">
        <v>46202</v>
      </c>
      <c r="B20" s="73" t="n">
        <v>17.391305</v>
      </c>
    </row>
    <row r="21" ht="15" customHeight="1" s="43">
      <c r="A21" s="58" t="n">
        <v>46209</v>
      </c>
      <c r="B21" s="73" t="n">
        <v>11.111111</v>
      </c>
    </row>
  </sheetData>
  <autoFilter ref="A1:B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H2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42" min="1" max="1"/>
    <col width="52" customWidth="1" style="42" min="2" max="2"/>
    <col width="14" customWidth="1" style="42" min="3" max="3"/>
    <col width="12" customWidth="1" style="42" min="4" max="4"/>
    <col width="11" customWidth="1" style="42" min="5" max="5"/>
    <col width="17" customWidth="1" style="42" min="6" max="6"/>
    <col width="10" customWidth="1" style="42" min="7" max="7"/>
    <col width="20" customWidth="1" style="42" min="8" max="8"/>
  </cols>
  <sheetData>
    <row r="1" ht="15.75" customHeight="1" s="43">
      <c r="A1" s="74" t="inlineStr">
        <is>
          <t>Apple Podcasts — Episodes (15)  ·  All Time</t>
        </is>
      </c>
    </row>
    <row r="2" ht="15" customHeight="1" s="43">
      <c r="A2" s="75" t="inlineStr">
        <is>
          <t>'Number' transcribed verbatim; platform displayed 'Episode NaN' for one row (a source glitch).</t>
        </is>
      </c>
    </row>
    <row r="4" ht="26.25" customHeight="1" s="43">
      <c r="A4" s="46" t="inlineStr">
        <is>
          <t>Number</t>
        </is>
      </c>
      <c r="B4" s="46" t="inlineStr">
        <is>
          <t>Name</t>
        </is>
      </c>
      <c r="C4" s="46" t="inlineStr">
        <is>
          <t>Release date</t>
        </is>
      </c>
      <c r="D4" s="46" t="inlineStr">
        <is>
          <t>Duration</t>
        </is>
      </c>
      <c r="E4" s="46" t="inlineStr">
        <is>
          <t>Listeners</t>
        </is>
      </c>
      <c r="F4" s="46" t="inlineStr">
        <is>
          <t>Engaged listeners</t>
        </is>
      </c>
      <c r="G4" s="46" t="inlineStr">
        <is>
          <t>Plays</t>
        </is>
      </c>
      <c r="H4" s="46" t="inlineStr">
        <is>
          <t>Average consumption</t>
        </is>
      </c>
    </row>
    <row r="5" ht="15" customHeight="1" s="43">
      <c r="A5" s="71" t="inlineStr">
        <is>
          <t>S1 E14</t>
        </is>
      </c>
      <c r="B5" s="71" t="inlineStr">
        <is>
          <t>News Dive: The Great De-Legalization, H-1B Follies, and Midterm Predictions</t>
        </is>
      </c>
      <c r="C5" s="48" t="inlineStr">
        <is>
          <t>Sep 10, 2026</t>
        </is>
      </c>
      <c r="D5" s="48" t="inlineStr">
        <is>
          <t>1 hr 1 min</t>
        </is>
      </c>
      <c r="E5" s="50" t="n">
        <v>36</v>
      </c>
      <c r="F5" s="50" t="n">
        <v>20</v>
      </c>
      <c r="G5" s="50" t="n">
        <v>140</v>
      </c>
      <c r="H5" s="62" t="n">
        <v>0.51</v>
      </c>
    </row>
    <row r="6" ht="15" customHeight="1" s="43">
      <c r="A6" s="71" t="inlineStr">
        <is>
          <t>S1 E13</t>
        </is>
      </c>
      <c r="B6" s="71" t="inlineStr">
        <is>
          <t>Asylum Is Not a Loophole, with Colleen Zengotitabengoa</t>
        </is>
      </c>
      <c r="C6" s="48" t="inlineStr">
        <is>
          <t>Sep 4, 2026</t>
        </is>
      </c>
      <c r="D6" s="48" t="inlineStr">
        <is>
          <t>1 hr 17 min</t>
        </is>
      </c>
      <c r="E6" s="50" t="n">
        <v>100</v>
      </c>
      <c r="F6" s="50" t="n">
        <v>73</v>
      </c>
      <c r="G6" s="50" t="n">
        <v>594</v>
      </c>
      <c r="H6" s="62" t="n">
        <v>0.67</v>
      </c>
    </row>
    <row r="7" ht="15" customHeight="1" s="43">
      <c r="A7" s="71" t="inlineStr">
        <is>
          <t>S1 E12</t>
        </is>
      </c>
      <c r="B7" s="71" t="inlineStr">
        <is>
          <t>Confessions of an Immigration Bureaucrat, with Michael Valverde</t>
        </is>
      </c>
      <c r="C7" s="48" t="inlineStr">
        <is>
          <t>Aug 13, 2026</t>
        </is>
      </c>
      <c r="D7" s="48" t="inlineStr">
        <is>
          <t>1 hr 5 min</t>
        </is>
      </c>
      <c r="E7" s="50" t="n">
        <v>162</v>
      </c>
      <c r="F7" s="50" t="n">
        <v>118</v>
      </c>
      <c r="G7" s="50" t="n">
        <v>906</v>
      </c>
      <c r="H7" s="62" t="n">
        <v>0.74</v>
      </c>
    </row>
    <row r="8" ht="15" customHeight="1" s="43">
      <c r="A8" s="71" t="inlineStr">
        <is>
          <t>S1 E11</t>
        </is>
      </c>
      <c r="B8" s="71" t="inlineStr">
        <is>
          <t>Three Big Lies About Immigrants and Fraud, with Sonya Schwartz</t>
        </is>
      </c>
      <c r="C8" s="48" t="inlineStr">
        <is>
          <t>Jul 22, 2026</t>
        </is>
      </c>
      <c r="D8" s="48" t="inlineStr">
        <is>
          <t>56 min</t>
        </is>
      </c>
      <c r="E8" s="50" t="n">
        <v>130</v>
      </c>
      <c r="F8" s="50" t="n">
        <v>76</v>
      </c>
      <c r="G8" s="50" t="n">
        <v>646</v>
      </c>
      <c r="H8" s="62" t="n">
        <v>0.65</v>
      </c>
    </row>
    <row r="9" ht="15" customHeight="1" s="43">
      <c r="A9" s="71" t="inlineStr">
        <is>
          <t>S1 E10</t>
        </is>
      </c>
      <c r="B9" s="71" t="inlineStr">
        <is>
          <t>A Winning Message on Immigration, with Beatriz Lopez</t>
        </is>
      </c>
      <c r="C9" s="48" t="inlineStr">
        <is>
          <t>Jun 30, 2026</t>
        </is>
      </c>
      <c r="D9" s="48" t="inlineStr">
        <is>
          <t>1 hr 3 min</t>
        </is>
      </c>
      <c r="E9" s="50" t="n">
        <v>156</v>
      </c>
      <c r="F9" s="50" t="n">
        <v>95</v>
      </c>
      <c r="G9" s="50" t="n">
        <v>970</v>
      </c>
      <c r="H9" s="62" t="n">
        <v>0.65</v>
      </c>
    </row>
    <row r="10" ht="15" customHeight="1" s="43">
      <c r="A10" s="71" t="inlineStr">
        <is>
          <t>S1 E9</t>
        </is>
      </c>
      <c r="B10" s="71" t="inlineStr">
        <is>
          <t>The Reality-Based Economics of Immigration, with Jenny Hunt</t>
        </is>
      </c>
      <c r="C10" s="48" t="inlineStr">
        <is>
          <t>Jun 19, 2026</t>
        </is>
      </c>
      <c r="D10" s="48" t="inlineStr">
        <is>
          <t>49 min</t>
        </is>
      </c>
      <c r="E10" s="50" t="n">
        <v>139</v>
      </c>
      <c r="F10" s="50" t="n">
        <v>93</v>
      </c>
      <c r="G10" s="50" t="n">
        <v>650</v>
      </c>
      <c r="H10" s="62" t="n">
        <v>0.72</v>
      </c>
    </row>
    <row r="11" ht="15" customHeight="1" s="43">
      <c r="A11" s="71" t="inlineStr">
        <is>
          <t>S1 E8</t>
        </is>
      </c>
      <c r="B11" s="71" t="inlineStr">
        <is>
          <t>News Digest: Green Card Chaos, Hunger Strikes, and Stern Dad Energy</t>
        </is>
      </c>
      <c r="C11" s="48" t="inlineStr">
        <is>
          <t>Jun 3, 2026</t>
        </is>
      </c>
      <c r="D11" s="48" t="inlineStr">
        <is>
          <t>1 hr 8 min</t>
        </is>
      </c>
      <c r="E11" s="50" t="n">
        <v>161</v>
      </c>
      <c r="F11" s="50" t="n">
        <v>101</v>
      </c>
      <c r="G11" s="50" t="n">
        <v>850</v>
      </c>
      <c r="H11" s="62" t="n">
        <v>0.61</v>
      </c>
    </row>
    <row r="12" ht="15" customHeight="1" s="43">
      <c r="A12" s="71" t="inlineStr">
        <is>
          <t>S1 E7</t>
        </is>
      </c>
      <c r="B12" s="71" t="inlineStr">
        <is>
          <t>The Truth About ICE, with Jason Houser</t>
        </is>
      </c>
      <c r="C12" s="48" t="inlineStr">
        <is>
          <t>May 26, 2026</t>
        </is>
      </c>
      <c r="D12" s="48" t="inlineStr">
        <is>
          <t>1 hr 2 min</t>
        </is>
      </c>
      <c r="E12" s="50" t="n">
        <v>186</v>
      </c>
      <c r="F12" s="50" t="n">
        <v>123</v>
      </c>
      <c r="G12" s="50" t="n">
        <v>1069</v>
      </c>
      <c r="H12" s="62" t="n">
        <v>0.68</v>
      </c>
    </row>
    <row r="13" ht="15" customHeight="1" s="43">
      <c r="A13" s="71" t="inlineStr">
        <is>
          <t>S1 E6</t>
        </is>
      </c>
      <c r="B13" s="71" t="inlineStr">
        <is>
          <t>Who's Afraid of the H-1B?</t>
        </is>
      </c>
      <c r="C13" s="48" t="inlineStr">
        <is>
          <t>Mar 17, 2026</t>
        </is>
      </c>
      <c r="D13" s="48" t="inlineStr">
        <is>
          <t>1 hr 14 min</t>
        </is>
      </c>
      <c r="E13" s="50" t="n">
        <v>233</v>
      </c>
      <c r="F13" s="50" t="n">
        <v>147</v>
      </c>
      <c r="G13" s="50" t="n">
        <v>1617</v>
      </c>
      <c r="H13" s="62" t="n">
        <v>0.66</v>
      </c>
    </row>
    <row r="14" ht="15" customHeight="1" s="43">
      <c r="A14" s="71" t="inlineStr">
        <is>
          <t>S1 E5</t>
        </is>
      </c>
      <c r="B14" s="71" t="inlineStr">
        <is>
          <t>DACA and the Dreamer Movement, with Felicia Escobar Carrillo</t>
        </is>
      </c>
      <c r="C14" s="48" t="inlineStr">
        <is>
          <t>Mar 9, 2026</t>
        </is>
      </c>
      <c r="D14" s="48" t="inlineStr">
        <is>
          <t>1 hr 36 min</t>
        </is>
      </c>
      <c r="E14" s="50" t="n">
        <v>141</v>
      </c>
      <c r="F14" s="50" t="n">
        <v>91</v>
      </c>
      <c r="G14" s="50" t="n">
        <v>1081</v>
      </c>
      <c r="H14" s="62" t="n">
        <v>0.58</v>
      </c>
    </row>
    <row r="15" ht="15" customHeight="1" s="43">
      <c r="A15" s="71" t="inlineStr">
        <is>
          <t>S1 E4</t>
        </is>
      </c>
      <c r="B15" s="71" t="inlineStr">
        <is>
          <t>The Heartbreak of Immigration Reform, with Esther Olavarria</t>
        </is>
      </c>
      <c r="C15" s="48" t="inlineStr">
        <is>
          <t>Mar 2, 2026</t>
        </is>
      </c>
      <c r="D15" s="48" t="inlineStr">
        <is>
          <t>1 hr 38 min</t>
        </is>
      </c>
      <c r="E15" s="50" t="n">
        <v>145</v>
      </c>
      <c r="F15" s="50" t="n">
        <v>114</v>
      </c>
      <c r="G15" s="50" t="n">
        <v>1243</v>
      </c>
      <c r="H15" s="62" t="n">
        <v>0.7</v>
      </c>
    </row>
    <row r="16" ht="15" customHeight="1" s="43">
      <c r="A16" s="76" t="inlineStr">
        <is>
          <t>S1 E3</t>
        </is>
      </c>
      <c r="B16" s="77" t="inlineStr">
        <is>
          <t>Biden and the Border (Part 2), with Charanya Krishnaswami</t>
        </is>
      </c>
      <c r="C16" s="77" t="inlineStr">
        <is>
          <t>Feb 22, 2026</t>
        </is>
      </c>
      <c r="D16" s="77" t="inlineStr">
        <is>
          <t>1 hr 9 min</t>
        </is>
      </c>
      <c r="E16" s="78" t="n">
        <v>130</v>
      </c>
      <c r="F16" s="78" t="n">
        <v>96</v>
      </c>
      <c r="G16" s="64" t="n">
        <v>986</v>
      </c>
      <c r="H16" s="77" t="n">
        <v>0.79</v>
      </c>
    </row>
    <row r="17">
      <c r="A17" s="42" t="inlineStr">
        <is>
          <t>S1 E2</t>
        </is>
      </c>
      <c r="B17" s="42" t="inlineStr">
        <is>
          <t>Biden and the Border (Part 1), with Charanya Krishnaswami</t>
        </is>
      </c>
      <c r="C17" s="42" t="inlineStr">
        <is>
          <t>Feb 22, 2026</t>
        </is>
      </c>
      <c r="D17" s="42" t="inlineStr">
        <is>
          <t>1 hr 13 min</t>
        </is>
      </c>
      <c r="E17" s="42" t="n">
        <v>194</v>
      </c>
      <c r="F17" s="42" t="n">
        <v>149</v>
      </c>
      <c r="G17" s="42" t="n">
        <v>1497</v>
      </c>
      <c r="H17" s="42" t="n">
        <v>0.78</v>
      </c>
    </row>
    <row r="18">
      <c r="A18" s="42" t="inlineStr">
        <is>
          <t>S1 E1</t>
        </is>
      </c>
      <c r="B18" s="42" t="inlineStr">
        <is>
          <t>Welcome to The Melting Pod</t>
        </is>
      </c>
      <c r="C18" s="42" t="inlineStr">
        <is>
          <t>Feb 22, 2026</t>
        </is>
      </c>
      <c r="D18" s="42" t="inlineStr">
        <is>
          <t>52 min</t>
        </is>
      </c>
      <c r="E18" s="42" t="n">
        <v>243</v>
      </c>
      <c r="F18" s="42" t="n">
        <v>149</v>
      </c>
      <c r="G18" s="42" t="n">
        <v>1244</v>
      </c>
      <c r="H18" s="42" t="n">
        <v>0.64</v>
      </c>
    </row>
    <row r="19">
      <c r="A19" s="42" t="inlineStr">
        <is>
          <t>Episode NaN</t>
        </is>
      </c>
      <c r="B19" s="42" t="inlineStr">
        <is>
          <t>Trailer: What is The Melting Pod?</t>
        </is>
      </c>
      <c r="C19" s="42" t="inlineStr">
        <is>
          <t>Feb 22, 2026</t>
        </is>
      </c>
      <c r="D19" s="42" t="inlineStr">
        <is>
          <t>2 min</t>
        </is>
      </c>
      <c r="E19" s="42" t="n">
        <v>74</v>
      </c>
      <c r="F19" s="42" t="n">
        <v>65</v>
      </c>
      <c r="G19" s="42" t="n">
        <v>95</v>
      </c>
      <c r="H19" s="42" t="n">
        <v>0.9</v>
      </c>
    </row>
    <row r="20">
      <c r="A20" s="42" t="inlineStr">
        <is>
          <t>Sum of listed episodes</t>
        </is>
      </c>
      <c r="E20" s="42" t="inlineStr">
        <is>
          <t>n/a</t>
        </is>
      </c>
      <c r="F20" s="42" t="inlineStr">
        <is>
          <t>n/a</t>
        </is>
      </c>
      <c r="G20" s="42">
        <f>SUM(G5:G19)</f>
        <v/>
      </c>
    </row>
  </sheetData>
  <autoFilter ref="A4:H1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B4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42" min="1" max="1"/>
    <col width="12" customWidth="1" style="42" min="2" max="2"/>
  </cols>
  <sheetData>
    <row r="1" ht="15.75" customHeight="1" s="43">
      <c r="A1" s="74" t="inlineStr">
        <is>
          <t>Apple Podcasts — Listeners by City  ·  All Time</t>
        </is>
      </c>
    </row>
    <row r="2" ht="15" customHeight="1" s="43">
      <c r="A2" s="75" t="inlineStr">
        <is>
          <t>Full list from the Sep 2026 "See All" cities view. Listed cities sum to 840, which EXCEEDS the 671 "All Cities" total — consistent with Apple's own methodology ("Listeners" are unique devices, not additive), evidently extended across cities too: the same listener can be counted in more than one city. Not a truncation artifact this time.</t>
        </is>
      </c>
    </row>
    <row r="4" ht="15" customHeight="1" s="43">
      <c r="A4" s="46" t="inlineStr">
        <is>
          <t>City</t>
        </is>
      </c>
      <c r="B4" s="46" t="inlineStr">
        <is>
          <t>Listeners</t>
        </is>
      </c>
    </row>
    <row r="5" ht="15" customHeight="1" s="43">
      <c r="A5" s="76" t="inlineStr">
        <is>
          <t>All Cities</t>
        </is>
      </c>
      <c r="B5" s="64" t="n">
        <v>671</v>
      </c>
    </row>
    <row r="6" ht="15" customHeight="1" s="43">
      <c r="A6" s="71" t="inlineStr">
        <is>
          <t>Washington, D.C.</t>
        </is>
      </c>
      <c r="B6" s="50" t="n">
        <v>139</v>
      </c>
    </row>
    <row r="7" ht="15" customHeight="1" s="43">
      <c r="A7" s="71" t="inlineStr">
        <is>
          <t>Baltimore</t>
        </is>
      </c>
      <c r="B7" s="50" t="n">
        <v>94</v>
      </c>
    </row>
    <row r="8" ht="15" customHeight="1" s="43">
      <c r="A8" s="71" t="inlineStr">
        <is>
          <t>Seattle</t>
        </is>
      </c>
      <c r="B8" s="50" t="n">
        <v>79</v>
      </c>
    </row>
    <row r="9" ht="15" customHeight="1" s="43">
      <c r="A9" s="71" t="inlineStr">
        <is>
          <t>New York City</t>
        </is>
      </c>
      <c r="B9" s="50" t="n">
        <v>65</v>
      </c>
    </row>
    <row r="10" ht="15" customHeight="1" s="43">
      <c r="A10" s="71" t="inlineStr">
        <is>
          <t>Los Angeles</t>
        </is>
      </c>
      <c r="B10" s="50" t="n">
        <v>35</v>
      </c>
    </row>
    <row r="11" ht="15" customHeight="1" s="43">
      <c r="A11" s="71" t="inlineStr">
        <is>
          <t>Chicago</t>
        </is>
      </c>
      <c r="B11" s="50" t="n">
        <v>34</v>
      </c>
    </row>
    <row r="12" ht="15" customHeight="1" s="43">
      <c r="A12" s="71" t="inlineStr">
        <is>
          <t>Philadelphia</t>
        </is>
      </c>
      <c r="B12" s="50" t="n">
        <v>26</v>
      </c>
    </row>
    <row r="13" ht="15" customHeight="1" s="43">
      <c r="A13" s="71" t="inlineStr">
        <is>
          <t>San Jose</t>
        </is>
      </c>
      <c r="B13" s="50" t="n">
        <v>25</v>
      </c>
    </row>
    <row r="14" ht="15" customHeight="1" s="43">
      <c r="A14" s="71" t="inlineStr">
        <is>
          <t>Boston</t>
        </is>
      </c>
      <c r="B14" s="50" t="n">
        <v>23</v>
      </c>
    </row>
    <row r="15" ht="15" customHeight="1" s="43">
      <c r="A15" s="71" t="inlineStr">
        <is>
          <t>Wilmington</t>
        </is>
      </c>
      <c r="B15" s="50" t="n">
        <v>20</v>
      </c>
    </row>
    <row r="16" ht="15" customHeight="1" s="43">
      <c r="A16" s="71" t="inlineStr">
        <is>
          <t>Atlanta</t>
        </is>
      </c>
      <c r="B16" s="50" t="n">
        <v>19</v>
      </c>
    </row>
    <row r="17" ht="15" customHeight="1" s="43">
      <c r="A17" s="71" t="inlineStr">
        <is>
          <t>San Francisco</t>
        </is>
      </c>
      <c r="B17" s="50" t="n">
        <v>18</v>
      </c>
    </row>
    <row r="18" ht="15" customHeight="1" s="43">
      <c r="A18" s="71" t="inlineStr">
        <is>
          <t>San Diego</t>
        </is>
      </c>
      <c r="B18" s="50" t="n">
        <v>17</v>
      </c>
    </row>
    <row r="19" ht="15" customHeight="1" s="43">
      <c r="A19" s="71" t="inlineStr">
        <is>
          <t>Charlotte</t>
        </is>
      </c>
      <c r="B19" s="50" t="n">
        <v>15</v>
      </c>
    </row>
    <row r="20" ht="15" customHeight="1" s="43">
      <c r="A20" s="71" t="inlineStr">
        <is>
          <t>Portland</t>
        </is>
      </c>
      <c r="B20" s="50" t="n">
        <v>15</v>
      </c>
    </row>
    <row r="21" ht="15" customHeight="1" s="43">
      <c r="A21" s="71" t="inlineStr">
        <is>
          <t>Miami</t>
        </is>
      </c>
      <c r="B21" s="50" t="n">
        <v>14</v>
      </c>
    </row>
    <row r="22" ht="15" customHeight="1" s="43">
      <c r="A22" s="71" t="inlineStr">
        <is>
          <t>Dallas</t>
        </is>
      </c>
      <c r="B22" s="50" t="n">
        <v>13</v>
      </c>
    </row>
    <row r="23" ht="15" customHeight="1" s="43">
      <c r="A23" s="71" t="inlineStr">
        <is>
          <t>Denver</t>
        </is>
      </c>
      <c r="B23" s="50" t="n">
        <v>13</v>
      </c>
    </row>
    <row r="24" ht="15" customHeight="1" s="43">
      <c r="A24" s="71" t="inlineStr">
        <is>
          <t>London</t>
        </is>
      </c>
      <c r="B24" s="50" t="n">
        <v>12</v>
      </c>
    </row>
    <row r="25" ht="15" customHeight="1" s="43">
      <c r="A25" s="71" t="inlineStr">
        <is>
          <t>Hartford</t>
        </is>
      </c>
      <c r="B25" s="50" t="n">
        <v>12</v>
      </c>
    </row>
    <row r="26" ht="15" customHeight="1" s="43">
      <c r="A26" s="71" t="inlineStr">
        <is>
          <t>Kansas City</t>
        </is>
      </c>
      <c r="B26" s="50" t="n">
        <v>10</v>
      </c>
    </row>
    <row r="27" ht="15" customHeight="1" s="43">
      <c r="A27" s="71" t="inlineStr">
        <is>
          <t>Worcester</t>
        </is>
      </c>
      <c r="B27" s="50" t="n">
        <v>10</v>
      </c>
    </row>
    <row r="28" ht="15" customHeight="1" s="43">
      <c r="A28" s="71" t="inlineStr">
        <is>
          <t>Minneapolis</t>
        </is>
      </c>
      <c r="B28" s="50" t="n">
        <v>10</v>
      </c>
    </row>
    <row r="29" ht="15" customHeight="1" s="43">
      <c r="A29" s="71" t="inlineStr">
        <is>
          <t>Syracuse</t>
        </is>
      </c>
      <c r="B29" s="50" t="n">
        <v>10</v>
      </c>
    </row>
    <row r="30" ht="15" customHeight="1" s="43">
      <c r="A30" s="71" t="inlineStr">
        <is>
          <t>Phoenix</t>
        </is>
      </c>
      <c r="B30" s="50" t="n">
        <v>9</v>
      </c>
    </row>
    <row r="31" ht="15" customHeight="1" s="43">
      <c r="A31" s="71" t="inlineStr">
        <is>
          <t>Richmond</t>
        </is>
      </c>
      <c r="B31" s="50" t="n">
        <v>8</v>
      </c>
    </row>
    <row r="32" ht="15" customHeight="1" s="43">
      <c r="A32" s="71" t="inlineStr">
        <is>
          <t>Leesburg</t>
        </is>
      </c>
      <c r="B32" s="50" t="n">
        <v>7</v>
      </c>
    </row>
    <row r="33" ht="15" customHeight="1" s="43">
      <c r="A33" s="71" t="inlineStr">
        <is>
          <t>Detroit</t>
        </is>
      </c>
      <c r="B33" s="50" t="n">
        <v>7</v>
      </c>
    </row>
    <row r="34" ht="15" customHeight="1" s="43">
      <c r="A34" s="71" t="inlineStr">
        <is>
          <t>Milwaukee</t>
        </is>
      </c>
      <c r="B34" s="50" t="n">
        <v>7</v>
      </c>
    </row>
    <row r="35" ht="15" customHeight="1" s="43">
      <c r="A35" s="71" t="inlineStr">
        <is>
          <t>Oakland</t>
        </is>
      </c>
      <c r="B35" s="50" t="n">
        <v>7</v>
      </c>
    </row>
    <row r="36" ht="15" customHeight="1" s="43">
      <c r="A36" s="71" t="inlineStr">
        <is>
          <t>Las Vegas</t>
        </is>
      </c>
      <c r="B36" s="50" t="n">
        <v>7</v>
      </c>
    </row>
    <row r="37" ht="15" customHeight="1" s="43">
      <c r="A37" s="71" t="inlineStr">
        <is>
          <t>San Antonio</t>
        </is>
      </c>
      <c r="B37" s="50" t="n">
        <v>6</v>
      </c>
    </row>
    <row r="38" ht="15" customHeight="1" s="43">
      <c r="A38" s="71" t="inlineStr">
        <is>
          <t>Anaheim</t>
        </is>
      </c>
      <c r="B38" s="50" t="n">
        <v>6</v>
      </c>
    </row>
    <row r="39" ht="15" customHeight="1" s="43">
      <c r="A39" s="71" t="inlineStr">
        <is>
          <t>Concord</t>
        </is>
      </c>
      <c r="B39" s="50" t="n">
        <v>6</v>
      </c>
    </row>
    <row r="40" ht="15" customHeight="1" s="43">
      <c r="A40" s="71" t="inlineStr">
        <is>
          <t>Sacramento</t>
        </is>
      </c>
      <c r="B40" s="50" t="n">
        <v>6</v>
      </c>
    </row>
    <row r="41" ht="15" customHeight="1" s="43">
      <c r="A41" s="71" t="inlineStr">
        <is>
          <t>Bellingham</t>
        </is>
      </c>
      <c r="B41" s="50" t="n">
        <v>6</v>
      </c>
    </row>
    <row r="42" ht="15" customHeight="1" s="43">
      <c r="A42" s="75" t="inlineStr">
        <is>
          <t>Cincinnati</t>
        </is>
      </c>
      <c r="B42" s="42" t="n">
        <v>5</v>
      </c>
    </row>
    <row r="43">
      <c r="A43" s="42" t="inlineStr">
        <is>
          <t>Columbus</t>
        </is>
      </c>
      <c r="B43" s="42" t="n">
        <v>5</v>
      </c>
    </row>
    <row r="44">
      <c r="A44" s="42" t="inlineStr">
        <is>
          <t>Houston</t>
        </is>
      </c>
      <c r="B44" s="42" t="n">
        <v>5</v>
      </c>
    </row>
    <row r="45">
      <c r="A45" s="42" t="inlineStr">
        <is>
          <t>Pittsburgh</t>
        </is>
      </c>
      <c r="B45" s="42" t="n">
        <v>5</v>
      </c>
    </row>
    <row r="46">
      <c r="A46" s="42" t="inlineStr">
        <is>
          <t>Mesa</t>
        </is>
      </c>
      <c r="B46" s="42" t="n">
        <v>5</v>
      </c>
    </row>
    <row r="47">
      <c r="A47" s="42" t="inlineStr">
        <is>
          <t>Tacoma</t>
        </is>
      </c>
      <c r="B47" s="42" t="n">
        <v>5</v>
      </c>
    </row>
    <row r="48">
      <c r="A48" s="42" t="inlineStr">
        <is>
          <t>listed cities sum to more than the total — Apple's 'Listeners' aren't additive across cities, same as across episodes</t>
        </is>
      </c>
    </row>
  </sheetData>
  <autoFilter ref="A4:B4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J25"/>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46" customWidth="1" style="42" min="1" max="1"/>
    <col width="10" customWidth="1" style="42" min="2" max="2"/>
    <col width="9" customWidth="1" style="42" min="3" max="4"/>
    <col width="15" customWidth="1" style="42" min="5" max="5"/>
    <col width="13" customWidth="1" style="42" min="6" max="6"/>
    <col width="12" customWidth="1" style="42" min="7" max="7"/>
    <col width="13" customWidth="1" style="42" min="8" max="8"/>
    <col width="11" customWidth="1" style="42" min="9" max="9"/>
    <col width="10" customWidth="1" style="42" min="10" max="10"/>
  </cols>
  <sheetData>
    <row r="1" ht="15.75" customHeight="1" s="43">
      <c r="A1" s="74" t="inlineStr">
        <is>
          <t>YouTube — Content (per video)  ·  Jan 1 – Jul 14, 2026</t>
        </is>
      </c>
    </row>
    <row r="2" ht="15" customHeight="1" s="43">
      <c r="A2" s="75" t="inlineStr">
        <is>
          <t>Durations read from thumbnail overlays. '%' columns are each row's share of the channel total.</t>
        </is>
      </c>
    </row>
    <row r="4" ht="26.25" customHeight="1" s="43">
      <c r="A4" s="46" t="inlineStr">
        <is>
          <t>Video title</t>
        </is>
      </c>
      <c r="B4" s="46" t="inlineStr">
        <is>
          <t>Duration</t>
        </is>
      </c>
      <c r="C4" s="46" t="inlineStr">
        <is>
          <t>Views</t>
        </is>
      </c>
      <c r="D4" s="46" t="inlineStr">
        <is>
          <t>Views %</t>
        </is>
      </c>
      <c r="E4" s="46" t="inlineStr">
        <is>
          <t>Watch time (hrs)</t>
        </is>
      </c>
      <c r="F4" s="46" t="inlineStr">
        <is>
          <t>Watch time %</t>
        </is>
      </c>
      <c r="G4" s="46" t="inlineStr">
        <is>
          <t>Subscribers</t>
        </is>
      </c>
      <c r="H4" s="46" t="inlineStr">
        <is>
          <t>Subscribers %</t>
        </is>
      </c>
      <c r="I4" s="46" t="inlineStr">
        <is>
          <t>Impressions</t>
        </is>
      </c>
      <c r="J4" s="46" t="inlineStr">
        <is>
          <t>Impr. CTR</t>
        </is>
      </c>
    </row>
    <row r="5" ht="15" customHeight="1" s="43">
      <c r="A5" s="71" t="inlineStr">
        <is>
          <t>There's No Differentiation Among U.S. Citizens</t>
        </is>
      </c>
      <c r="B5" s="48" t="inlineStr">
        <is>
          <t>0:22</t>
        </is>
      </c>
      <c r="C5" s="50" t="n">
        <v>1462</v>
      </c>
      <c r="D5" s="79" t="n">
        <v>0.194</v>
      </c>
      <c r="E5" s="53" t="n">
        <v>1.5</v>
      </c>
      <c r="F5" s="79" t="n">
        <v>0.006</v>
      </c>
      <c r="G5" s="50" t="n">
        <v>2</v>
      </c>
      <c r="H5" s="79" t="n">
        <v>0.011</v>
      </c>
      <c r="I5" s="50" t="n">
        <v>367</v>
      </c>
      <c r="J5" s="79" t="n">
        <v>0.035</v>
      </c>
    </row>
    <row r="6" ht="15" customHeight="1" s="43">
      <c r="A6" s="71" t="inlineStr">
        <is>
          <t>Never Mind Kristi Noem; Nothing Changes While S…</t>
        </is>
      </c>
      <c r="B6" s="48" t="inlineStr">
        <is>
          <t>1:28</t>
        </is>
      </c>
      <c r="C6" s="50" t="n">
        <v>1395</v>
      </c>
      <c r="D6" s="79" t="n">
        <v>0.185</v>
      </c>
      <c r="E6" s="53" t="n">
        <v>7.6</v>
      </c>
      <c r="F6" s="79" t="n">
        <v>0.032</v>
      </c>
      <c r="G6" s="50" t="n">
        <v>4</v>
      </c>
      <c r="H6" s="79" t="n">
        <v>0.023</v>
      </c>
      <c r="I6" s="50" t="n">
        <v>410</v>
      </c>
      <c r="J6" s="79" t="n">
        <v>0.046</v>
      </c>
    </row>
    <row r="7" ht="15" customHeight="1" s="43">
      <c r="A7" s="71" t="inlineStr">
        <is>
          <t>All Good Immigration Policy Is Not A Pull Factor</t>
        </is>
      </c>
      <c r="B7" s="48" t="inlineStr">
        <is>
          <t>0:16</t>
        </is>
      </c>
      <c r="C7" s="50" t="n">
        <v>1003</v>
      </c>
      <c r="D7" s="79" t="n">
        <v>0.133</v>
      </c>
      <c r="E7" s="53" t="n">
        <v>0.9</v>
      </c>
      <c r="F7" s="79" t="n">
        <v>0.004</v>
      </c>
      <c r="G7" s="50" t="n">
        <v>0</v>
      </c>
      <c r="H7" s="79" t="n">
        <v>0</v>
      </c>
      <c r="I7" s="50" t="n">
        <v>275</v>
      </c>
      <c r="J7" s="79" t="n">
        <v>0.033</v>
      </c>
    </row>
    <row r="8" ht="15" customHeight="1" s="43">
      <c r="A8" s="71" t="inlineStr">
        <is>
          <t>No, Elon Musk Won't "Go to War" to Save H-1B Visas</t>
        </is>
      </c>
      <c r="B8" s="48" t="inlineStr">
        <is>
          <t>0:52</t>
        </is>
      </c>
      <c r="C8" s="50" t="n">
        <v>906</v>
      </c>
      <c r="D8" s="79" t="n">
        <v>0.12</v>
      </c>
      <c r="E8" s="53" t="n">
        <v>4.3</v>
      </c>
      <c r="F8" s="79" t="n">
        <v>0.018</v>
      </c>
      <c r="G8" s="50" t="n">
        <v>1</v>
      </c>
      <c r="H8" s="79" t="n">
        <v>0.006</v>
      </c>
      <c r="I8" s="50" t="n">
        <v>201</v>
      </c>
      <c r="J8" s="79" t="n">
        <v>0.04</v>
      </c>
    </row>
    <row r="9" ht="15" customHeight="1" s="43">
      <c r="A9" s="71" t="inlineStr">
        <is>
          <t>Pundits Erroneously Blaming "Woke" Staffers for B…</t>
        </is>
      </c>
      <c r="B9" s="48" t="inlineStr">
        <is>
          <t>2:55</t>
        </is>
      </c>
      <c r="C9" s="50" t="n">
        <v>858</v>
      </c>
      <c r="D9" s="79" t="n">
        <v>0.114</v>
      </c>
      <c r="E9" s="53" t="n">
        <v>9.699999999999999</v>
      </c>
      <c r="F9" s="79" t="n">
        <v>0.04</v>
      </c>
      <c r="G9" s="50" t="n">
        <v>1</v>
      </c>
      <c r="H9" s="79" t="n">
        <v>0.006</v>
      </c>
      <c r="I9" s="50" t="n">
        <v>120</v>
      </c>
      <c r="J9" s="79" t="n">
        <v>0.042</v>
      </c>
    </row>
    <row r="10" ht="15" customHeight="1" s="43">
      <c r="A10" s="71" t="inlineStr">
        <is>
          <t>DACA Day was Joyous #immigration #DACA</t>
        </is>
      </c>
      <c r="B10" s="48" t="inlineStr">
        <is>
          <t>1:01</t>
        </is>
      </c>
      <c r="C10" s="50" t="n">
        <v>399</v>
      </c>
      <c r="D10" s="79" t="n">
        <v>0.053</v>
      </c>
      <c r="E10" s="53" t="n">
        <v>0.8</v>
      </c>
      <c r="F10" s="79" t="n">
        <v>0.003</v>
      </c>
      <c r="G10" s="50" t="n">
        <v>0</v>
      </c>
      <c r="H10" s="79" t="n">
        <v>0</v>
      </c>
      <c r="I10" s="50" t="n">
        <v>158</v>
      </c>
      <c r="J10" s="79" t="n">
        <v>0.044</v>
      </c>
    </row>
    <row r="11" ht="15" customHeight="1" s="43">
      <c r="A11" s="71" t="inlineStr">
        <is>
          <t>Welcome to The Melting Pod</t>
        </is>
      </c>
      <c r="B11" s="48" t="inlineStr">
        <is>
          <t>1:52:22</t>
        </is>
      </c>
      <c r="C11" s="50" t="n">
        <v>236</v>
      </c>
      <c r="D11" s="79" t="n">
        <v>0.031</v>
      </c>
      <c r="E11" s="53" t="n">
        <v>30.7</v>
      </c>
      <c r="F11" s="79" t="n">
        <v>0.127</v>
      </c>
      <c r="G11" s="50" t="n">
        <v>23</v>
      </c>
      <c r="H11" s="79" t="n">
        <v>0.129</v>
      </c>
      <c r="I11" s="50" t="n">
        <v>2471</v>
      </c>
      <c r="J11" s="79" t="n">
        <v>0.063</v>
      </c>
    </row>
    <row r="12" ht="15" customHeight="1" s="43">
      <c r="A12" s="71" t="inlineStr">
        <is>
          <t>Jason Houser discussed the role of ICE officers.</t>
        </is>
      </c>
      <c r="B12" s="48" t="inlineStr">
        <is>
          <t>0:34</t>
        </is>
      </c>
      <c r="C12" s="50" t="n">
        <v>221</v>
      </c>
      <c r="D12" s="79" t="n">
        <v>0.029</v>
      </c>
      <c r="E12" s="53" t="n">
        <v>0.3</v>
      </c>
      <c r="F12" s="79" t="n">
        <v>0.001</v>
      </c>
      <c r="G12" s="50" t="n">
        <v>1</v>
      </c>
      <c r="H12" s="79" t="n">
        <v>0.006</v>
      </c>
      <c r="I12" s="50" t="n">
        <v>120</v>
      </c>
      <c r="J12" s="79" t="n">
        <v>0.083</v>
      </c>
    </row>
    <row r="13" ht="15" customHeight="1" s="43">
      <c r="A13" s="71" t="inlineStr">
        <is>
          <t>The Heartbreak of Immigration Reform, with Esthe…</t>
        </is>
      </c>
      <c r="B13" s="48" t="inlineStr">
        <is>
          <t>1:38:21</t>
        </is>
      </c>
      <c r="C13" s="50" t="n">
        <v>151</v>
      </c>
      <c r="D13" s="79" t="n">
        <v>0.02</v>
      </c>
      <c r="E13" s="53" t="n">
        <v>45.6</v>
      </c>
      <c r="F13" s="79" t="n">
        <v>0.189</v>
      </c>
      <c r="G13" s="50" t="n">
        <v>3</v>
      </c>
      <c r="H13" s="79" t="n">
        <v>0.017</v>
      </c>
      <c r="I13" s="50" t="n">
        <v>1331</v>
      </c>
      <c r="J13" s="79" t="n">
        <v>0.063</v>
      </c>
    </row>
    <row r="14" ht="15" customHeight="1" s="43">
      <c r="A14" s="71" t="inlineStr">
        <is>
          <t>Who's Afraid of the H-1B?</t>
        </is>
      </c>
      <c r="B14" s="48" t="inlineStr">
        <is>
          <t>1:13:39</t>
        </is>
      </c>
      <c r="C14" s="50" t="n">
        <v>150</v>
      </c>
      <c r="D14" s="79" t="n">
        <v>0.02</v>
      </c>
      <c r="E14" s="53" t="n">
        <v>40</v>
      </c>
      <c r="F14" s="79" t="n">
        <v>0.166</v>
      </c>
      <c r="G14" s="50" t="n">
        <v>7</v>
      </c>
      <c r="H14" s="79" t="n">
        <v>0.039</v>
      </c>
      <c r="I14" s="50" t="n">
        <v>1158</v>
      </c>
      <c r="J14" s="79" t="n">
        <v>0.079</v>
      </c>
    </row>
    <row r="15" ht="15" customHeight="1" s="43">
      <c r="A15" s="71" t="inlineStr">
        <is>
          <t>We Must Offer an Affirmative Vision</t>
        </is>
      </c>
      <c r="B15" s="48" t="inlineStr">
        <is>
          <t>0:13</t>
        </is>
      </c>
      <c r="C15" s="50" t="n">
        <v>122</v>
      </c>
      <c r="D15" s="79" t="n">
        <v>0.016</v>
      </c>
      <c r="E15" s="53" t="n">
        <v>0.1</v>
      </c>
      <c r="F15" s="79" t="n">
        <v>0</v>
      </c>
      <c r="G15" s="50" t="n">
        <v>0</v>
      </c>
      <c r="H15" s="79" t="n">
        <v>0</v>
      </c>
      <c r="I15" s="50" t="n">
        <v>345</v>
      </c>
      <c r="J15" s="79" t="n">
        <v>0.02</v>
      </c>
    </row>
    <row r="16" ht="15" customHeight="1" s="43">
      <c r="A16" s="71" t="inlineStr">
        <is>
          <t>The Reality-Based Economics of Immigration, with …</t>
        </is>
      </c>
      <c r="B16" s="48" t="inlineStr">
        <is>
          <t>1:48:40</t>
        </is>
      </c>
      <c r="C16" s="50" t="n">
        <v>118</v>
      </c>
      <c r="D16" s="79" t="n">
        <v>0.016</v>
      </c>
      <c r="E16" s="53" t="n">
        <v>11.8</v>
      </c>
      <c r="F16" s="79" t="n">
        <v>0.049</v>
      </c>
      <c r="G16" s="50" t="n">
        <v>3</v>
      </c>
      <c r="H16" s="79" t="n">
        <v>0.017</v>
      </c>
      <c r="I16" s="50" t="n">
        <v>4308</v>
      </c>
      <c r="J16" s="79" t="n">
        <v>0.017</v>
      </c>
    </row>
    <row r="17" ht="15" customHeight="1" s="43">
      <c r="A17" s="71" t="inlineStr">
        <is>
          <t>The Truth About ICE, with Jason Houser</t>
        </is>
      </c>
      <c r="B17" s="48" t="inlineStr">
        <is>
          <t>1:01:43</t>
        </is>
      </c>
      <c r="C17" s="50" t="n">
        <v>102</v>
      </c>
      <c r="D17" s="79" t="n">
        <v>0.014</v>
      </c>
      <c r="E17" s="53" t="n">
        <v>18.1</v>
      </c>
      <c r="F17" s="79" t="n">
        <v>0.075</v>
      </c>
      <c r="G17" s="50" t="n">
        <v>3</v>
      </c>
      <c r="H17" s="79" t="n">
        <v>0.017</v>
      </c>
      <c r="I17" s="50" t="n">
        <v>1594</v>
      </c>
      <c r="J17" s="79" t="n">
        <v>0.039</v>
      </c>
    </row>
    <row r="18" ht="15" customHeight="1" s="43">
      <c r="A18" s="71" t="inlineStr">
        <is>
          <t>Trailer: What is The Melting Pod?</t>
        </is>
      </c>
      <c r="B18" s="48" t="inlineStr">
        <is>
          <t>2:22</t>
        </is>
      </c>
      <c r="C18" s="50" t="n">
        <v>96</v>
      </c>
      <c r="D18" s="79" t="n">
        <v>0.013</v>
      </c>
      <c r="E18" s="53" t="n">
        <v>0.5</v>
      </c>
      <c r="F18" s="79" t="n">
        <v>0.002</v>
      </c>
      <c r="G18" s="50" t="n">
        <v>9</v>
      </c>
      <c r="H18" s="79" t="n">
        <v>0.051</v>
      </c>
      <c r="I18" s="50" t="n">
        <v>550</v>
      </c>
      <c r="J18" s="79" t="n">
        <v>0.047</v>
      </c>
    </row>
    <row r="19" ht="15" customHeight="1" s="43">
      <c r="A19" s="71" t="inlineStr">
        <is>
          <t>Biden and the Border (Part 1), with Charanya Krish…</t>
        </is>
      </c>
      <c r="B19" s="48" t="inlineStr">
        <is>
          <t>1:12:56</t>
        </is>
      </c>
      <c r="C19" s="50" t="n">
        <v>85</v>
      </c>
      <c r="D19" s="79" t="n">
        <v>0.011</v>
      </c>
      <c r="E19" s="53" t="n">
        <v>21.3</v>
      </c>
      <c r="F19" s="79" t="n">
        <v>0.08799999999999999</v>
      </c>
      <c r="G19" s="50" t="n">
        <v>0</v>
      </c>
      <c r="H19" s="79" t="n">
        <v>0</v>
      </c>
      <c r="I19" s="50" t="n">
        <v>814</v>
      </c>
      <c r="J19" s="79" t="n">
        <v>0.048</v>
      </c>
    </row>
    <row r="20" ht="15" customHeight="1" s="43">
      <c r="A20" s="71" t="inlineStr">
        <is>
          <t>News Digest: Green Card Chaos, Hunger Strikes, a…</t>
        </is>
      </c>
      <c r="B20" s="48" t="inlineStr">
        <is>
          <t>1:08:08</t>
        </is>
      </c>
      <c r="C20" s="50" t="n">
        <v>71</v>
      </c>
      <c r="D20" s="79" t="n">
        <v>0.008999999999999999</v>
      </c>
      <c r="E20" s="53" t="n">
        <v>14.2</v>
      </c>
      <c r="F20" s="79" t="n">
        <v>0.059</v>
      </c>
      <c r="G20" s="50" t="n">
        <v>1</v>
      </c>
      <c r="H20" s="79" t="n">
        <v>0.006</v>
      </c>
      <c r="I20" s="50" t="n">
        <v>1193</v>
      </c>
      <c r="J20" s="79" t="n">
        <v>0.038</v>
      </c>
    </row>
    <row r="21" ht="15" customHeight="1" s="43">
      <c r="A21" s="71" t="inlineStr">
        <is>
          <t>Biden and the Border (Part 2), with Charanya Krish…</t>
        </is>
      </c>
      <c r="B21" s="48" t="inlineStr">
        <is>
          <t>1:09:03</t>
        </is>
      </c>
      <c r="C21" s="50" t="n">
        <v>55</v>
      </c>
      <c r="D21" s="79" t="n">
        <v>0.007</v>
      </c>
      <c r="E21" s="53" t="n">
        <v>14.9</v>
      </c>
      <c r="F21" s="79" t="n">
        <v>0.062</v>
      </c>
      <c r="G21" s="50" t="n">
        <v>1</v>
      </c>
      <c r="H21" s="79" t="n">
        <v>0.006</v>
      </c>
      <c r="I21" s="50" t="n">
        <v>735</v>
      </c>
      <c r="J21" s="79" t="n">
        <v>0.042</v>
      </c>
    </row>
    <row r="22" ht="15" customHeight="1" s="43">
      <c r="A22" s="71" t="inlineStr">
        <is>
          <t>DACA and the Dreamer Movement, with Felicia Esc…</t>
        </is>
      </c>
      <c r="B22" s="48" t="inlineStr">
        <is>
          <t>1:35:57</t>
        </is>
      </c>
      <c r="C22" s="50" t="n">
        <v>50</v>
      </c>
      <c r="D22" s="79" t="n">
        <v>0.007</v>
      </c>
      <c r="E22" s="53" t="n">
        <v>14.4</v>
      </c>
      <c r="F22" s="79" t="n">
        <v>0.059</v>
      </c>
      <c r="G22" s="50" t="n">
        <v>0</v>
      </c>
      <c r="H22" s="79" t="n">
        <v>0</v>
      </c>
      <c r="I22" s="50" t="n">
        <v>959</v>
      </c>
      <c r="J22" s="79" t="n">
        <v>0.033</v>
      </c>
    </row>
    <row r="23" ht="15" customHeight="1" s="43">
      <c r="A23" s="71" t="inlineStr">
        <is>
          <t>A Winning Message on Immigration, with Beatriz L…</t>
        </is>
      </c>
      <c r="B23" s="48" t="inlineStr">
        <is>
          <t>1:02:47</t>
        </is>
      </c>
      <c r="C23" s="50" t="n">
        <v>11</v>
      </c>
      <c r="D23" s="79" t="n">
        <v>0.002</v>
      </c>
      <c r="E23" s="53" t="n">
        <v>4.5</v>
      </c>
      <c r="F23" s="79" t="n">
        <v>0.019</v>
      </c>
      <c r="G23" s="50" t="n">
        <v>0</v>
      </c>
      <c r="H23" s="79" t="n">
        <v>0</v>
      </c>
      <c r="I23" s="50" t="n">
        <v>133</v>
      </c>
      <c r="J23" s="79" t="n">
        <v>0.045</v>
      </c>
    </row>
    <row r="24" ht="15" customHeight="1" s="43">
      <c r="A24" s="76" t="inlineStr">
        <is>
          <t>Sum of rows shown</t>
        </is>
      </c>
      <c r="B24" s="77" t="n"/>
      <c r="C24" s="64">
        <f>SUM(C5:C23)</f>
        <v/>
      </c>
      <c r="D24" s="77" t="n"/>
      <c r="E24" s="80">
        <f>SUM(E5:E23)</f>
        <v/>
      </c>
      <c r="F24" s="77" t="n"/>
      <c r="G24" s="64">
        <f>SUM(G5:G23)</f>
        <v/>
      </c>
      <c r="H24" s="77" t="n"/>
      <c r="I24" s="64">
        <f>SUM(I5:I23)</f>
        <v/>
      </c>
      <c r="J24" s="77" t="n"/>
    </row>
    <row r="25" ht="15" customHeight="1" s="43">
      <c r="A25" s="76" t="inlineStr">
        <is>
          <t>Channel total (per YouTube)</t>
        </is>
      </c>
      <c r="B25" s="77" t="n"/>
      <c r="C25" s="64" t="n">
        <v>7543</v>
      </c>
      <c r="D25" s="77" t="n"/>
      <c r="E25" s="80" t="n">
        <v>241.5</v>
      </c>
      <c r="F25" s="77" t="n"/>
      <c r="G25" s="64" t="n">
        <v>178</v>
      </c>
      <c r="H25" s="77" t="n"/>
      <c r="I25" s="64" t="n">
        <v>17427</v>
      </c>
      <c r="J25" s="81" t="n">
        <v>0.042</v>
      </c>
    </row>
  </sheetData>
  <autoFilter ref="A4:J2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H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42" min="1" max="1"/>
    <col width="12" customWidth="1" style="42" min="2" max="2"/>
    <col width="10" customWidth="1" style="42" min="3" max="3"/>
    <col width="9" customWidth="1" style="42" min="4" max="5"/>
    <col width="17" customWidth="1" style="42" min="6" max="6"/>
    <col width="15" customWidth="1" style="42" min="7" max="7"/>
    <col width="13" customWidth="1" style="42" min="8" max="8"/>
  </cols>
  <sheetData>
    <row r="1" ht="15.75" customHeight="1" s="43">
      <c r="A1" s="74" t="inlineStr">
        <is>
          <t>YouTube — Traffic Sources  ·  Jan 1 – Jul 14, 2026</t>
        </is>
      </c>
    </row>
    <row r="2" ht="15" customHeight="1" s="43">
      <c r="A2" s="75" t="inlineStr">
        <is>
          <t>Blank Impressions/CTR cells shown as '—' in YouTube (not impression-served). '%' columns are share of channel Views / Watch time.</t>
        </is>
      </c>
    </row>
    <row r="4" ht="26.25" customHeight="1" s="43">
      <c r="A4" s="46" t="inlineStr">
        <is>
          <t>Traffic source</t>
        </is>
      </c>
      <c r="B4" s="46" t="inlineStr">
        <is>
          <t>Impressions</t>
        </is>
      </c>
      <c r="C4" s="46" t="inlineStr">
        <is>
          <t>Impr. CTR</t>
        </is>
      </c>
      <c r="D4" s="46" t="inlineStr">
        <is>
          <t>Views</t>
        </is>
      </c>
      <c r="E4" s="46" t="inlineStr">
        <is>
          <t>Views %</t>
        </is>
      </c>
      <c r="F4" s="46" t="inlineStr">
        <is>
          <t>Avg view duration</t>
        </is>
      </c>
      <c r="G4" s="46" t="inlineStr">
        <is>
          <t>Watch time (hrs)</t>
        </is>
      </c>
      <c r="H4" s="46" t="inlineStr">
        <is>
          <t>Watch time %</t>
        </is>
      </c>
    </row>
    <row r="5" ht="15" customHeight="1" s="43">
      <c r="A5" s="76" t="inlineStr">
        <is>
          <t>Total</t>
        </is>
      </c>
      <c r="B5" s="64" t="n">
        <v>17427</v>
      </c>
      <c r="C5" s="81" t="n">
        <v>0.042</v>
      </c>
      <c r="D5" s="64" t="n">
        <v>7543</v>
      </c>
      <c r="E5" s="78" t="inlineStr">
        <is>
          <t>—</t>
        </is>
      </c>
      <c r="F5" s="78" t="inlineStr">
        <is>
          <t>4:05</t>
        </is>
      </c>
      <c r="G5" s="80" t="n">
        <v>241.5</v>
      </c>
      <c r="H5" s="78" t="inlineStr">
        <is>
          <t>—</t>
        </is>
      </c>
    </row>
    <row r="6" ht="15" customHeight="1" s="43">
      <c r="A6" s="71" t="inlineStr">
        <is>
          <t>Shorts feed</t>
        </is>
      </c>
      <c r="B6" s="48" t="inlineStr">
        <is>
          <t>—</t>
        </is>
      </c>
      <c r="C6" s="48" t="inlineStr">
        <is>
          <t>—</t>
        </is>
      </c>
      <c r="D6" s="50" t="n">
        <v>5952</v>
      </c>
      <c r="E6" s="79" t="n">
        <v>0.789</v>
      </c>
      <c r="F6" s="48" t="inlineStr">
        <is>
          <t>0:35</t>
        </is>
      </c>
      <c r="G6" s="53" t="n">
        <v>22.7</v>
      </c>
      <c r="H6" s="79" t="n">
        <v>0.094</v>
      </c>
    </row>
    <row r="7" ht="15" customHeight="1" s="43">
      <c r="A7" s="71" t="inlineStr">
        <is>
          <t>Channel pages</t>
        </is>
      </c>
      <c r="B7" s="50" t="n">
        <v>3451</v>
      </c>
      <c r="C7" s="79" t="n">
        <v>0.09</v>
      </c>
      <c r="D7" s="50" t="n">
        <v>457</v>
      </c>
      <c r="E7" s="79" t="n">
        <v>0.061</v>
      </c>
      <c r="F7" s="48" t="inlineStr">
        <is>
          <t>14:19</t>
        </is>
      </c>
      <c r="G7" s="53" t="n">
        <v>97</v>
      </c>
      <c r="H7" s="79" t="n">
        <v>0.402</v>
      </c>
    </row>
    <row r="8" ht="15" customHeight="1" s="43">
      <c r="A8" s="71" t="inlineStr">
        <is>
          <t>YouTube search</t>
        </is>
      </c>
      <c r="B8" s="50" t="n">
        <v>2066</v>
      </c>
      <c r="C8" s="79" t="n">
        <v>0.077</v>
      </c>
      <c r="D8" s="50" t="n">
        <v>250</v>
      </c>
      <c r="E8" s="79" t="n">
        <v>0.033</v>
      </c>
      <c r="F8" s="48" t="inlineStr">
        <is>
          <t>3:28</t>
        </is>
      </c>
      <c r="G8" s="53" t="n">
        <v>11.8</v>
      </c>
      <c r="H8" s="79" t="n">
        <v>0.049</v>
      </c>
    </row>
    <row r="9" ht="15" customHeight="1" s="43">
      <c r="A9" s="71" t="inlineStr">
        <is>
          <t>Other YouTube features</t>
        </is>
      </c>
      <c r="B9" s="48" t="inlineStr">
        <is>
          <t>—</t>
        </is>
      </c>
      <c r="C9" s="48" t="inlineStr">
        <is>
          <t>—</t>
        </is>
      </c>
      <c r="D9" s="50" t="n">
        <v>229</v>
      </c>
      <c r="E9" s="79" t="n">
        <v>0.03</v>
      </c>
      <c r="F9" s="48" t="inlineStr">
        <is>
          <t>5:14</t>
        </is>
      </c>
      <c r="G9" s="53" t="n">
        <v>13.1</v>
      </c>
      <c r="H9" s="79" t="n">
        <v>0.054</v>
      </c>
    </row>
    <row r="10" ht="15" customHeight="1" s="43">
      <c r="A10" s="71" t="inlineStr">
        <is>
          <t>Browse features</t>
        </is>
      </c>
      <c r="B10" s="50" t="n">
        <v>3747</v>
      </c>
      <c r="C10" s="79" t="n">
        <v>0.042</v>
      </c>
      <c r="D10" s="50" t="n">
        <v>222</v>
      </c>
      <c r="E10" s="79" t="n">
        <v>0.029</v>
      </c>
      <c r="F10" s="48" t="inlineStr">
        <is>
          <t>9:57</t>
        </is>
      </c>
      <c r="G10" s="53" t="n">
        <v>35.7</v>
      </c>
      <c r="H10" s="79" t="n">
        <v>0.148</v>
      </c>
    </row>
    <row r="11" ht="15" customHeight="1" s="43">
      <c r="A11" s="71" t="inlineStr">
        <is>
          <t>Suggested videos</t>
        </is>
      </c>
      <c r="B11" s="50" t="n">
        <v>6794</v>
      </c>
      <c r="C11" s="79" t="n">
        <v>0.008999999999999999</v>
      </c>
      <c r="D11" s="50" t="n">
        <v>111</v>
      </c>
      <c r="E11" s="79" t="n">
        <v>0.015</v>
      </c>
      <c r="F11" s="48" t="inlineStr">
        <is>
          <t>17:18</t>
        </is>
      </c>
      <c r="G11" s="53" t="n">
        <v>32</v>
      </c>
      <c r="H11" s="79" t="n">
        <v>0.133</v>
      </c>
    </row>
    <row r="12" ht="15" customHeight="1" s="43">
      <c r="A12" s="71" t="inlineStr">
        <is>
          <t>Direct or unknown</t>
        </is>
      </c>
      <c r="B12" s="48" t="inlineStr">
        <is>
          <t>—</t>
        </is>
      </c>
      <c r="C12" s="48" t="inlineStr">
        <is>
          <t>—</t>
        </is>
      </c>
      <c r="D12" s="50" t="n">
        <v>92</v>
      </c>
      <c r="E12" s="79" t="n">
        <v>0.012</v>
      </c>
      <c r="F12" s="48" t="inlineStr">
        <is>
          <t>5:13</t>
        </is>
      </c>
      <c r="G12" s="53" t="n">
        <v>8</v>
      </c>
      <c r="H12" s="79" t="n">
        <v>0.033</v>
      </c>
    </row>
    <row r="13" ht="15" customHeight="1" s="43">
      <c r="A13" s="71" t="inlineStr">
        <is>
          <t>External</t>
        </is>
      </c>
      <c r="B13" s="48" t="inlineStr">
        <is>
          <t>—</t>
        </is>
      </c>
      <c r="C13" s="48" t="inlineStr">
        <is>
          <t>—</t>
        </is>
      </c>
      <c r="D13" s="50" t="n">
        <v>91</v>
      </c>
      <c r="E13" s="79" t="n">
        <v>0.012</v>
      </c>
      <c r="F13" s="48" t="inlineStr">
        <is>
          <t>6:54</t>
        </is>
      </c>
      <c r="G13" s="53" t="n">
        <v>9</v>
      </c>
      <c r="H13" s="79" t="n">
        <v>0.037</v>
      </c>
    </row>
    <row r="14" ht="15" customHeight="1" s="43">
      <c r="A14" s="71" t="inlineStr">
        <is>
          <t>Playlists</t>
        </is>
      </c>
      <c r="B14" s="50" t="n">
        <v>1369</v>
      </c>
      <c r="C14" s="79" t="n">
        <v>0.027</v>
      </c>
      <c r="D14" s="50" t="n">
        <v>84</v>
      </c>
      <c r="E14" s="79" t="n">
        <v>0.011</v>
      </c>
      <c r="F14" s="48" t="inlineStr">
        <is>
          <t>9:08</t>
        </is>
      </c>
      <c r="G14" s="53" t="n">
        <v>11</v>
      </c>
      <c r="H14" s="79" t="n">
        <v>0.046</v>
      </c>
    </row>
    <row r="15" ht="15" customHeight="1" s="43">
      <c r="A15" s="71" t="inlineStr">
        <is>
          <t>Notifications</t>
        </is>
      </c>
      <c r="B15" s="48" t="inlineStr">
        <is>
          <t>—</t>
        </is>
      </c>
      <c r="C15" s="48" t="inlineStr">
        <is>
          <t>—</t>
        </is>
      </c>
      <c r="D15" s="50" t="n">
        <v>16</v>
      </c>
      <c r="E15" s="79" t="n">
        <v>0.002</v>
      </c>
      <c r="F15" s="48" t="inlineStr">
        <is>
          <t>5:02</t>
        </is>
      </c>
      <c r="G15" s="53" t="n">
        <v>1.2</v>
      </c>
      <c r="H15" s="79" t="n">
        <v>0.005</v>
      </c>
    </row>
    <row r="16" ht="15" customHeight="1" s="43">
      <c r="A16" s="71" t="inlineStr">
        <is>
          <t>Related Shorts</t>
        </is>
      </c>
      <c r="B16" s="48" t="inlineStr">
        <is>
          <t>—</t>
        </is>
      </c>
      <c r="C16" s="48" t="inlineStr">
        <is>
          <t>—</t>
        </is>
      </c>
      <c r="D16" s="50" t="n">
        <v>15</v>
      </c>
      <c r="E16" s="79" t="n">
        <v>0.002</v>
      </c>
      <c r="F16" s="48" t="inlineStr">
        <is>
          <t>0:04</t>
        </is>
      </c>
      <c r="G16" s="53" t="n">
        <v>0</v>
      </c>
      <c r="H16" s="79" t="n">
        <v>0</v>
      </c>
    </row>
    <row r="17" ht="15" customHeight="1" s="43">
      <c r="A17" s="71" t="inlineStr">
        <is>
          <t>Sound pages</t>
        </is>
      </c>
      <c r="B17" s="48" t="inlineStr">
        <is>
          <t>—</t>
        </is>
      </c>
      <c r="C17" s="48" t="inlineStr">
        <is>
          <t>—</t>
        </is>
      </c>
      <c r="D17" s="50" t="n">
        <v>1</v>
      </c>
      <c r="E17" s="79" t="n">
        <v>0</v>
      </c>
      <c r="F17" s="48" t="inlineStr">
        <is>
          <t>0:40</t>
        </is>
      </c>
      <c r="G17" s="53" t="n">
        <v>0</v>
      </c>
      <c r="H17" s="79" t="n">
        <v>0</v>
      </c>
    </row>
  </sheetData>
  <autoFilter ref="A4:H1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C1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6" customWidth="1" style="42" min="1" max="1"/>
    <col width="12" customWidth="1" style="42" min="2" max="2"/>
    <col width="58" customWidth="1" style="42" min="3" max="3"/>
  </cols>
  <sheetData>
    <row r="1" ht="15.75" customHeight="1" s="43">
      <c r="A1" s="74" t="inlineStr">
        <is>
          <t>YouTube — Impressions → Watch time funnel</t>
        </is>
      </c>
    </row>
    <row r="2" ht="15" customHeight="1" s="43">
      <c r="A2" s="75" t="inlineStr">
        <is>
          <t>Source card: 'Impressions and how they led to watch time.' Data available Jan 1 – Jul 14, 2026 (195 days).</t>
        </is>
      </c>
    </row>
    <row r="4" ht="15" customHeight="1" s="43">
      <c r="A4" s="46" t="inlineStr">
        <is>
          <t>Stage / metric</t>
        </is>
      </c>
      <c r="B4" s="46" t="inlineStr">
        <is>
          <t>Value</t>
        </is>
      </c>
      <c r="C4" s="46" t="inlineStr">
        <is>
          <t>Notes</t>
        </is>
      </c>
    </row>
    <row r="5" ht="15" customHeight="1" s="43">
      <c r="A5" s="82" t="inlineStr">
        <is>
          <t>Impressions</t>
        </is>
      </c>
      <c r="B5" s="50" t="n">
        <v>17427</v>
      </c>
      <c r="C5" s="83" t="inlineStr">
        <is>
          <t>Card shows '17.4K'; exact value from traffic-source table.</t>
        </is>
      </c>
    </row>
    <row r="6" ht="15" customHeight="1" s="43">
      <c r="A6" s="82" t="inlineStr">
        <is>
          <t>From YouTube recommending content</t>
        </is>
      </c>
      <c r="B6" s="79" t="n">
        <v>0.585</v>
      </c>
      <c r="C6" s="83" t="inlineStr">
        <is>
          <t>Share of impressions.</t>
        </is>
      </c>
    </row>
    <row r="7" ht="15" customHeight="1" s="43">
      <c r="A7" s="82" t="inlineStr">
        <is>
          <t>Click-through rate</t>
        </is>
      </c>
      <c r="B7" s="79" t="n">
        <v>0.042</v>
      </c>
      <c r="C7" s="83" t="n"/>
    </row>
    <row r="8" ht="23.25" customHeight="1" s="43">
      <c r="A8" s="82" t="inlineStr">
        <is>
          <t>Views from impressions</t>
        </is>
      </c>
      <c r="B8" s="50" t="n">
        <v>724</v>
      </c>
      <c r="C8" s="83" t="inlineStr">
        <is>
          <t>Impression-driven views only — less than total channel views (7,543), which include Shorts feed, external, etc.</t>
        </is>
      </c>
    </row>
    <row r="9" ht="15" customHeight="1" s="43">
      <c r="A9" s="82" t="inlineStr">
        <is>
          <t>Average view duration</t>
        </is>
      </c>
      <c r="B9" s="48" t="inlineStr">
        <is>
          <t>11:23</t>
        </is>
      </c>
      <c r="C9" s="83" t="inlineStr">
        <is>
          <t>For impression-driven views.</t>
        </is>
      </c>
    </row>
    <row r="10" ht="15" customHeight="1" s="43">
      <c r="A10" s="82" t="inlineStr">
        <is>
          <t>Watch time from impressions (hours)</t>
        </is>
      </c>
      <c r="B10" s="84" t="n">
        <v>137.49</v>
      </c>
      <c r="C10" s="83" t="inlineStr">
        <is>
          <t>Vs. total channel watch time of 241.5 hours.</t>
        </is>
      </c>
    </row>
  </sheetData>
  <autoFilter ref="A4:C1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2026-07-15T17:38:01Z</dcterms:created>
  <dcterms:modified xsi:type="dcterms:W3CDTF">2026-09-11T12:38:19Z</dcterms:modified>
  <cp:revision>0</cp:revision>
</cp:coreProperties>
</file>